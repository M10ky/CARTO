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ographie" sheetId="1" r:id="rId5"/>
  </sheets>
  <definedNames>
    <definedName localSheetId="0" name="AN_Z4_R4">Cartographie!$F$13:$J$13</definedName>
    <definedName localSheetId="0" name="AN_Z3_R4">Cartographie!$B$25:$N$26</definedName>
    <definedName localSheetId="0" name="AN_Z3_R3">Cartographie!$D$31:$K$32</definedName>
    <definedName localSheetId="0" name="AN_Z9_R4">Cartographie!$X$25:$Y$33</definedName>
    <definedName localSheetId="0" name="AN_Z3_R2">Cartographie!$D$34:$K$35</definedName>
    <definedName localSheetId="0" name="AN_Z4_R6">Cartographie!$Q$15:$V$16</definedName>
    <definedName localSheetId="0" name="AS_Z6_R2">Cartographie!$AJ$50:$AR$51</definedName>
    <definedName localSheetId="0" name="AN_Z4_R1">Cartographie!$D$21:$L$22</definedName>
    <definedName localSheetId="0" name="AS_Z7_R1">Cartographie!$AJ$37:$AR$38</definedName>
    <definedName localSheetId="0" name="AS_Z5_R3">Cartographie!$AK$70:$AP$71</definedName>
    <definedName localSheetId="0" name="AS_Z6_R3">Cartographie!$AJ$47:$AR$48</definedName>
    <definedName localSheetId="0" name="AN_Z2_R2">Cartographie!$D$57:$K$58</definedName>
    <definedName localSheetId="0" name="AS_Z5_R4">Cartographie!$AK$67:$AP$68</definedName>
    <definedName localSheetId="0" name="AS_BOX4">Cartographie!$AJ$60:$AQ$61</definedName>
    <definedName localSheetId="0" name="AS_BOX5">Cartographie!$AJ$83:$AO$84</definedName>
    <definedName localSheetId="0" name="AS_Z7_R2">Cartographie!$AJ$34:$AR$35</definedName>
    <definedName localSheetId="0" name="AS_Z7_R4">Cartographie!$AJ$28:$AR$29</definedName>
    <definedName localSheetId="0" name="AN_Z8_R6">Cartographie!$AA$18:$AF$19</definedName>
    <definedName localSheetId="0" name="AS_Z4_R2">Cartographie!$AJ$15:$AS$16</definedName>
    <definedName localSheetId="0" name="AN_Z2_R4">Cartographie!$D$51:$K$52</definedName>
    <definedName localSheetId="0" name="AN_Z4_R2">Cartographie!$D$18:$L$19</definedName>
    <definedName localSheetId="0" name="AN_Z9_R5">Cartographie!$AA$25:$AB$33</definedName>
    <definedName localSheetId="0" name="AN_Z9_R6">Cartographie!$AD$25:$AE$33</definedName>
    <definedName localSheetId="0" name="AN_Z4_R3">Cartographie!$D$15:$L$16</definedName>
    <definedName localSheetId="0" name="AS_Z6_R1">Cartographie!$AJ$53:$AR$54</definedName>
    <definedName localSheetId="0" name="AN_Z8_R4">Cartographie!$AA$13:$AF$13</definedName>
    <definedName localSheetId="0" name="AN_Z9_R1">Cartographie!$P$27:$P$30</definedName>
    <definedName localSheetId="0" name="AN_BOX3">Cartographie!$D$44:$K$45</definedName>
    <definedName localSheetId="0" name="AN_Z2_R3">Cartographie!$D$54:$K$55</definedName>
    <definedName localSheetId="0" name="AS_Z5_R2">Cartographie!$AK$73:$AP$74</definedName>
    <definedName localSheetId="0" name="AN_BOX2">Cartographie!$Q$64:$W$65</definedName>
    <definedName localSheetId="0" name="AS_Z5_R1">Cartographie!$AK$76:$AP$77</definedName>
    <definedName localSheetId="0" name="AS_Z4_R3">Cartographie!$AL$13:$AQ$13</definedName>
    <definedName localSheetId="0" name="AN_Z1_R4">Cartographie!$D$70:$L$71</definedName>
    <definedName localSheetId="0" name="AS_Z4_R4">Cartographie!$AK$21:$AR$22</definedName>
    <definedName localSheetId="0" name="AN_BOX1">Cartographie!$Q$71:$W$75</definedName>
    <definedName localSheetId="0" name="AN_Z1_R2">Cartographie!$D$76:$L$77</definedName>
    <definedName localSheetId="0" name="AN_Z2_R1">Cartographie!$D$60:$K$61</definedName>
    <definedName localSheetId="0" name="AN_Z8_R5">Cartographie!$AA$15:$AF$16</definedName>
    <definedName localSheetId="0" name="AN_Z1_R1">Cartographie!$F$79:$K$79</definedName>
    <definedName localSheetId="0" name="AS_Z6_R4">Cartographie!$AJ$44:$AR$45</definedName>
    <definedName localSheetId="0" name="AN_Z4_R5">Cartographie!$Q$13:$V$13</definedName>
    <definedName localSheetId="0" name="AN_Z3_R1">Cartographie!$D$37:$K$38</definedName>
    <definedName localSheetId="0" name="AS_Z4_R1">Cartographie!$AJ$18:$AS$19</definedName>
    <definedName localSheetId="0" name="AN_Z1_R3">Cartographie!$D$73:$L$74</definedName>
    <definedName localSheetId="0" name="AN_Z1_R5">Cartographie!$D$67:$L$68</definedName>
    <definedName localSheetId="0" name="AN_Z9_R3">Cartographie!$U$25:$V$33</definedName>
    <definedName localSheetId="0" name="AN_Z9_R2">Cartographie!$R$25:$S$33</definedName>
    <definedName localSheetId="0" name="AS_Z7_R3">Cartographie!$AJ$31:$AR$32</definedName>
  </definedNames>
  <calcPr/>
</workbook>
</file>

<file path=xl/sharedStrings.xml><?xml version="1.0" encoding="utf-8"?>
<sst xmlns="http://schemas.openxmlformats.org/spreadsheetml/2006/main" count="801" uniqueCount="288">
  <si>
    <t>Nb3046</t>
  </si>
  <si>
    <t>Cartographie des positions</t>
  </si>
  <si>
    <t>Sans PC</t>
  </si>
  <si>
    <r>
      <rPr>
        <rFont val="Poppins"/>
        <b/>
        <color theme="1"/>
      </rPr>
      <t>Date de dernière mise à jour :</t>
    </r>
    <r>
      <rPr>
        <rFont val="Poppins"/>
        <b val="0"/>
        <color theme="1"/>
      </rPr>
      <t xml:space="preserve"> 06/11/2025</t>
    </r>
  </si>
  <si>
    <t>Endommagé / Non exploité</t>
  </si>
  <si>
    <t>Déplacements prévus ou actés récemment</t>
  </si>
  <si>
    <t>VIDE (CC)</t>
  </si>
  <si>
    <t>VIDE (Manager)</t>
  </si>
  <si>
    <t>VIDE (Support)</t>
  </si>
  <si>
    <t>Total</t>
  </si>
  <si>
    <t>AILE NORD</t>
  </si>
  <si>
    <t>AILE SUD</t>
  </si>
  <si>
    <t xml:space="preserve">   ESCALIER EST</t>
  </si>
  <si>
    <t>ZONE 4</t>
  </si>
  <si>
    <t>Positions</t>
  </si>
  <si>
    <t>Occupées</t>
  </si>
  <si>
    <t>Vides</t>
  </si>
  <si>
    <t>ZONE 8</t>
  </si>
  <si>
    <t>Rangée 4</t>
  </si>
  <si>
    <t>YAS AS</t>
  </si>
  <si>
    <t>Rangée 5</t>
  </si>
  <si>
    <t>certif</t>
  </si>
  <si>
    <t>Larissa (MC)</t>
  </si>
  <si>
    <t>ONY
(MC)</t>
  </si>
  <si>
    <t>PRODIGY</t>
  </si>
  <si>
    <t>CQ
(TELCOI)</t>
  </si>
  <si>
    <t>OM TELCOI</t>
  </si>
  <si>
    <t>Rangée 3</t>
  </si>
  <si>
    <t>Misa (CCM)</t>
  </si>
  <si>
    <t>TELCO OI</t>
  </si>
  <si>
    <t>OM INSHORE</t>
  </si>
  <si>
    <t>Manitra (MC Yas AS)</t>
  </si>
  <si>
    <t>Sandrinah
YAS TELESALES</t>
  </si>
  <si>
    <t>Mendrika
YAS TELESALES</t>
  </si>
  <si>
    <t>Fanaiky
YAS TELESALES</t>
  </si>
  <si>
    <t>Joannah
YAS TELESALES</t>
  </si>
  <si>
    <t>Vahatra
YAS TELESALES</t>
  </si>
  <si>
    <t>Hubert
MVOLA DIGITAL</t>
  </si>
  <si>
    <t>Victoria
MVOLA DIGITAL</t>
  </si>
  <si>
    <t>YAS AE</t>
  </si>
  <si>
    <t>Rangée 6</t>
  </si>
  <si>
    <t>INCOM</t>
  </si>
  <si>
    <t>STELLARIX</t>
  </si>
  <si>
    <t>Rangée 2</t>
  </si>
  <si>
    <t>FREE PRO
Télépro</t>
  </si>
  <si>
    <t>Andrianina
(MC TelcoOI)</t>
  </si>
  <si>
    <t>NY ANTSA(Manager)</t>
  </si>
  <si>
    <t>Harena
AS TELESALES</t>
  </si>
  <si>
    <t>Milamina
YAS TELESALES</t>
  </si>
  <si>
    <t>Andry
YAS TELESALES</t>
  </si>
  <si>
    <t>Ezra
YAS TELESALES</t>
  </si>
  <si>
    <t>Tsanta
YAS TELESALES</t>
  </si>
  <si>
    <t>Bruna
MVOLA DIGITAL</t>
  </si>
  <si>
    <t xml:space="preserve">
MVOLA </t>
  </si>
  <si>
    <t xml:space="preserve">
MVOLA</t>
  </si>
  <si>
    <t>PAM CFM Inter agence</t>
  </si>
  <si>
    <t>FEHIZORO 
(Vigie)</t>
  </si>
  <si>
    <t>Heriniaina
(MC Digital Mvola)</t>
  </si>
  <si>
    <t>Claudia
MVOLA AS</t>
  </si>
  <si>
    <t>Faly
MVOLA AS</t>
  </si>
  <si>
    <t>Sambatra
MVOLA AS</t>
  </si>
  <si>
    <t>Nomena
MVOLA AS</t>
  </si>
  <si>
    <t>Sylvio
MVOLA AS</t>
  </si>
  <si>
    <r>
      <rPr>
        <rFont val="Poppins"/>
        <color rgb="FF1F1F1F"/>
        <sz val="11.0"/>
      </rPr>
      <t>YAS</t>
    </r>
    <r>
      <rPr>
        <rFont val="Poppins"/>
        <color rgb="FF1155CC"/>
        <sz val="11.0"/>
        <u/>
      </rPr>
      <t xml:space="preserve"> AS
</t>
    </r>
  </si>
  <si>
    <r>
      <rPr>
        <rFont val="Poppins"/>
        <color rgb="FF1F1F1F"/>
        <sz val="11.0"/>
      </rPr>
      <t>YAS</t>
    </r>
    <r>
      <rPr>
        <rFont val="Poppins"/>
        <color rgb="FF1155CC"/>
        <sz val="11.0"/>
        <u/>
      </rPr>
      <t xml:space="preserve"> AS</t>
    </r>
  </si>
  <si>
    <r>
      <rPr>
        <rFont val="Poppins"/>
        <color rgb="FF1F1F1F"/>
        <sz val="11.0"/>
      </rPr>
      <t>YAS</t>
    </r>
    <r>
      <rPr>
        <rFont val="Poppins"/>
        <color rgb="FF1155CC"/>
        <sz val="11.0"/>
        <u/>
      </rPr>
      <t xml:space="preserve"> AS</t>
    </r>
  </si>
  <si>
    <r>
      <rPr>
        <rFont val="Poppins"/>
        <color rgb="FF1F1F1F"/>
        <sz val="11.0"/>
      </rPr>
      <t>YAS</t>
    </r>
    <r>
      <rPr>
        <rFont val="Poppins"/>
        <color rgb="FF1155CC"/>
        <sz val="11.0"/>
        <u/>
      </rPr>
      <t xml:space="preserve"> AS</t>
    </r>
  </si>
  <si>
    <t>Rangée 1</t>
  </si>
  <si>
    <t>Comores</t>
  </si>
  <si>
    <t>TELCO OI
Back office</t>
  </si>
  <si>
    <t>WELIGHT</t>
  </si>
  <si>
    <t>Amir
(MC TelcoOI)</t>
  </si>
  <si>
    <t>Nampoina
(MC AS 
Mvola)</t>
  </si>
  <si>
    <t>Henintsoa
MVOLA AS
(Recou)</t>
  </si>
  <si>
    <t>Sonya
MVOLA AS</t>
  </si>
  <si>
    <t>Marcellin
MVOLA AS</t>
  </si>
  <si>
    <t>MVOLA AS</t>
  </si>
  <si>
    <t>Filaliana
MVOLA AS</t>
  </si>
  <si>
    <t>Adrianina
MVOLA DIGITAL</t>
  </si>
  <si>
    <t>BO Certif Comores</t>
  </si>
  <si>
    <t>Mohamed
(MC Telco)</t>
  </si>
  <si>
    <t>Sariaka
(MC AS 
Mvola)</t>
  </si>
  <si>
    <t>MVOLA AS
(Recou)</t>
  </si>
  <si>
    <t>Josia
MVOLA AS
(Recou)</t>
  </si>
  <si>
    <t>Miora
MVOLA AS
(Recou)</t>
  </si>
  <si>
    <t>Aymard
MVOLA AS
(Recou)</t>
  </si>
  <si>
    <t>Angelo
MVOLA AS
(Recou)</t>
  </si>
  <si>
    <t>Armando
MVOLA AS
(Recou)</t>
  </si>
  <si>
    <t>Rangée 4 (Nouvelles positions)</t>
  </si>
  <si>
    <t>hasina</t>
  </si>
  <si>
    <t>Thierry (WFM)</t>
  </si>
  <si>
    <t>Malala (WFM)</t>
  </si>
  <si>
    <t>Jocelyn (WFM)</t>
  </si>
  <si>
    <t>Voary 
(WFM)</t>
  </si>
  <si>
    <t>RADO WFM</t>
  </si>
  <si>
    <t>Tahina (Manager)</t>
  </si>
  <si>
    <t>Jackie
MVOLA AS
(Recou)</t>
  </si>
  <si>
    <t>Jessicah
MVOLA AS
(Recou)</t>
  </si>
  <si>
    <t>Fabienne
MVOLA AS
(Recou)</t>
  </si>
  <si>
    <t>Liantsoa
MVOLA AS
(Recou)</t>
  </si>
  <si>
    <t>Mirana
MVOLA AS
(Recou)</t>
  </si>
  <si>
    <t>AS Recou</t>
  </si>
  <si>
    <t>Nambinintsoa
MVOLA AS
(Recou)</t>
  </si>
  <si>
    <t>Geovanie
MVOLA AS
(Recou)</t>
  </si>
  <si>
    <t>Valerie
MVOLA AS
(Recou)</t>
  </si>
  <si>
    <t>Non équipées</t>
  </si>
  <si>
    <t>Levi</t>
  </si>
  <si>
    <t>Narindra (WFM)</t>
  </si>
  <si>
    <t>Soava (WFM)</t>
  </si>
  <si>
    <t>Tendry (WFM)</t>
  </si>
  <si>
    <t>Vide</t>
  </si>
  <si>
    <t xml:space="preserve"> </t>
  </si>
  <si>
    <t>ZONE 9</t>
  </si>
  <si>
    <t>Tinà
(Formation)</t>
  </si>
  <si>
    <t>Manoa
(Formation)</t>
  </si>
  <si>
    <t xml:space="preserve">Formation </t>
  </si>
  <si>
    <t>Minosoa (OM BO Mvola)</t>
  </si>
  <si>
    <t>Tanjona 
(OM FO Mvola)</t>
  </si>
  <si>
    <t>Linah
(CQ Mvola)</t>
  </si>
  <si>
    <t>Azaria
(MC Récla et Activation Mvola)</t>
  </si>
  <si>
    <t>Iarovana
(MC Mvola)</t>
  </si>
  <si>
    <t>Ando
(MC Requête Mvola)</t>
  </si>
  <si>
    <t>Patricia
(MC Mvola)</t>
  </si>
  <si>
    <t>Sylvio
(MC Certif)</t>
  </si>
  <si>
    <t>MC Certif</t>
  </si>
  <si>
    <t>Navalona (MC)</t>
  </si>
  <si>
    <t>Mamisoa(Lead AE Yas)</t>
  </si>
  <si>
    <t>Henrico
(MC AE Yas)</t>
  </si>
  <si>
    <t>Maholy
(Formation)</t>
  </si>
  <si>
    <t>Bonie
(Formation)</t>
  </si>
  <si>
    <t>Brinda
(Formation)</t>
  </si>
  <si>
    <t>Voahangy
(Formation)</t>
  </si>
  <si>
    <t>Isabelle (CCM)</t>
  </si>
  <si>
    <t>ACT-ACCR MVOLA</t>
  </si>
  <si>
    <t>REQ MVOLA</t>
  </si>
  <si>
    <t>CERTIF</t>
  </si>
  <si>
    <t>FREE</t>
  </si>
  <si>
    <t>Natacha (MC AE Yas)</t>
  </si>
  <si>
    <t>ZONE 7</t>
  </si>
  <si>
    <t>MVOLA AE</t>
  </si>
  <si>
    <t>Vigie(AE Yas)</t>
  </si>
  <si>
    <t>ZONE 3</t>
  </si>
  <si>
    <t>MVU</t>
  </si>
  <si>
    <t>Judi
(MC YAS AE)</t>
  </si>
  <si>
    <t>RECLA MVOLA</t>
  </si>
  <si>
    <t>Tahina
( MC AE Mvola)</t>
  </si>
  <si>
    <t>Yas DIGITAL</t>
  </si>
  <si>
    <t>Heriniaina
(OM YAS)</t>
  </si>
  <si>
    <t>Tahiry
( MC AE Mvola)</t>
  </si>
  <si>
    <t>Sabrine
(MC DIGITAL Yas)</t>
  </si>
  <si>
    <t>,</t>
  </si>
  <si>
    <t>Kanto
(CQ Mvola)</t>
  </si>
  <si>
    <t>LINA CQ</t>
  </si>
  <si>
    <t>Anick (CQ Mvola)</t>
  </si>
  <si>
    <t>Lalaina
(CQ Mvola)</t>
  </si>
  <si>
    <t>Ando
(CQ Mvola)</t>
  </si>
  <si>
    <r>
      <rPr>
        <rFont val="Poppins"/>
        <color rgb="FF0563C1"/>
        <sz val="11.0"/>
        <u/>
      </rPr>
      <t>FREE</t>
    </r>
    <r>
      <rPr>
        <rFont val="Poppins"/>
        <color rgb="FF1F1F1F"/>
        <sz val="11.0"/>
      </rPr>
      <t xml:space="preserve"> NOAM</t>
    </r>
  </si>
  <si>
    <t>Lynancia (CQ)</t>
  </si>
  <si>
    <t>Rina
(Vigie)</t>
  </si>
  <si>
    <t>RETENTION YAS</t>
  </si>
  <si>
    <t>YAS DIGITAL/</t>
  </si>
  <si>
    <t>FERNAND OM</t>
  </si>
  <si>
    <t>Martina
( MC AE Mvola)</t>
  </si>
  <si>
    <t>YAS ACTIVATION</t>
  </si>
  <si>
    <t>Activation YAS</t>
  </si>
  <si>
    <t>Tsanta
(MC BO Rétention)</t>
  </si>
  <si>
    <t>Ravaka
( MC AE Mvola)</t>
  </si>
  <si>
    <t>RECLA YAS</t>
  </si>
  <si>
    <t>Nantenaina (MC Récla)</t>
  </si>
  <si>
    <t>Tanjona 
(MC MVOLA Mvola)</t>
  </si>
  <si>
    <t>STMM</t>
  </si>
  <si>
    <t>Olivia
(MC STMM Yas)</t>
  </si>
  <si>
    <t>Pantry</t>
  </si>
  <si>
    <t>BOX 3</t>
  </si>
  <si>
    <t>ZONE 6</t>
  </si>
  <si>
    <t xml:space="preserve"> (COO)</t>
  </si>
  <si>
    <t>Activation Yas</t>
  </si>
  <si>
    <t>Facturation YAS</t>
  </si>
  <si>
    <t>Diamondra OM YAS</t>
  </si>
  <si>
    <t>Tolotra
(MC Activation Mobile)</t>
  </si>
  <si>
    <t>Mickael MC YAS</t>
  </si>
  <si>
    <t>Tersea</t>
  </si>
  <si>
    <t>FREE SN</t>
  </si>
  <si>
    <t>free sn</t>
  </si>
  <si>
    <t>TERSEA</t>
  </si>
  <si>
    <t>NARINDRA</t>
  </si>
  <si>
    <t>ZONE 2</t>
  </si>
  <si>
    <t>tersea</t>
  </si>
  <si>
    <t>Manager Tersea</t>
  </si>
  <si>
    <t>Sandrine(MC GC Yas)</t>
  </si>
  <si>
    <t>Grands comptes YAS</t>
  </si>
  <si>
    <t>CQ</t>
  </si>
  <si>
    <t>Manoa
(MC PMI/PME Yas)</t>
  </si>
  <si>
    <t>PMI/PME</t>
  </si>
  <si>
    <t>CQ YAS</t>
  </si>
  <si>
    <t>CQ Tersea</t>
  </si>
  <si>
    <r>
      <rPr>
        <rFont val="Poppins"/>
        <color rgb="FF1155CC"/>
        <sz val="11.0"/>
        <u/>
      </rPr>
      <t>CQ</t>
    </r>
    <r>
      <rPr>
        <rFont val="Poppins"/>
        <color rgb="FF1F1F1F"/>
        <sz val="11.0"/>
      </rPr>
      <t xml:space="preserve"> yas</t>
    </r>
  </si>
  <si>
    <r>
      <rPr>
        <rFont val="Poppins"/>
        <color rgb="FF1155CC"/>
        <sz val="11.0"/>
        <u/>
      </rPr>
      <t>CQ</t>
    </r>
    <r>
      <rPr>
        <rFont val="Poppins"/>
        <sz val="11.0"/>
      </rPr>
      <t xml:space="preserve"> </t>
    </r>
    <r>
      <rPr>
        <rFont val="Poppins"/>
        <color rgb="FF1F1F1F"/>
        <sz val="11.0"/>
      </rPr>
      <t>yas</t>
    </r>
  </si>
  <si>
    <t>MC Tersea</t>
  </si>
  <si>
    <t>Kintana
(Comete)</t>
  </si>
  <si>
    <t>Jessica (JOKO)</t>
  </si>
  <si>
    <t>Harena (JOKO)</t>
  </si>
  <si>
    <t>Brains (JOKO)</t>
  </si>
  <si>
    <t>Maya (JOKO)</t>
  </si>
  <si>
    <t>Ny Ony (JOKO)</t>
  </si>
  <si>
    <t>Kanto (JOKO)</t>
  </si>
  <si>
    <t>Testeur (Comete)</t>
  </si>
  <si>
    <t>Mendrika (MAN)</t>
  </si>
  <si>
    <t>Sarobidy (MAN)</t>
  </si>
  <si>
    <t>Nano (MAN)</t>
  </si>
  <si>
    <t>Zo (ELM)</t>
  </si>
  <si>
    <t>Cynthia (ELM)</t>
  </si>
  <si>
    <t>Sitraka (ELM)</t>
  </si>
  <si>
    <t>RONDRO(ELM)</t>
  </si>
  <si>
    <t>Joss (ELM)</t>
  </si>
  <si>
    <t>Manon (MAN)</t>
  </si>
  <si>
    <t>Sariaka (MAN)</t>
  </si>
  <si>
    <t>Sylvano (MAN)</t>
  </si>
  <si>
    <t>Yvan (MAN)</t>
  </si>
  <si>
    <t>Tsiry (MAN)</t>
  </si>
  <si>
    <t>Olivia (MAN)</t>
  </si>
  <si>
    <t>MAN</t>
  </si>
  <si>
    <t>Jiovanni (Comete)</t>
  </si>
  <si>
    <t>BOX 4</t>
  </si>
  <si>
    <t>Manitra (MAN)</t>
  </si>
  <si>
    <t>Miora (MAN)</t>
  </si>
  <si>
    <t>Volatiana (MAN)</t>
  </si>
  <si>
    <t>Sergio (MAN)</t>
  </si>
  <si>
    <t>Sandrify (MAN)</t>
  </si>
  <si>
    <t>Andrianina (MAN)</t>
  </si>
  <si>
    <t>Antonieta (MAN)</t>
  </si>
  <si>
    <t>Hary Mino (MAN)</t>
  </si>
  <si>
    <t>Zoarihasina (MAN)</t>
  </si>
  <si>
    <t>Create</t>
  </si>
  <si>
    <t>Agilite</t>
  </si>
  <si>
    <t>Voahangy (Consultante)</t>
  </si>
  <si>
    <t>Mialy (Comete)</t>
  </si>
  <si>
    <t>Rija (MAN)</t>
  </si>
  <si>
    <t>Cathycia (MAN)</t>
  </si>
  <si>
    <t>Nomeniavo (MAN)</t>
  </si>
  <si>
    <r>
      <rPr>
        <rFont val="Poppins"/>
        <color rgb="FF0563C1"/>
        <sz val="11.0"/>
        <u/>
      </rPr>
      <t>Testeur (Comete)</t>
    </r>
    <r>
      <rPr>
        <rFont val="Poppins"/>
        <sz val="11.0"/>
      </rPr>
      <t>Testeur (Comete)        Testeur (Comete)</t>
    </r>
  </si>
  <si>
    <t>Letisia (MAN)</t>
  </si>
  <si>
    <t>TANTELY (MAN)</t>
  </si>
  <si>
    <t>B4B</t>
  </si>
  <si>
    <t>Lanja 
(wfm)</t>
  </si>
  <si>
    <t>VOAHARY(wfm)</t>
  </si>
  <si>
    <t>ZONE 1</t>
  </si>
  <si>
    <t>ZONE 5</t>
  </si>
  <si>
    <t>SUPPORT 
Comete</t>
  </si>
  <si>
    <t>Andry (IT)</t>
  </si>
  <si>
    <t>Manou (IT)</t>
  </si>
  <si>
    <t>Njaka (IT)</t>
  </si>
  <si>
    <t>Rojo (IT)</t>
  </si>
  <si>
    <t>Support IT</t>
  </si>
  <si>
    <t>Anthony (Consulting)</t>
  </si>
  <si>
    <t>Lalaina (Consulting)</t>
  </si>
  <si>
    <t>Njaka (Head of BU Consulting)</t>
  </si>
  <si>
    <t>Rado (IT)</t>
  </si>
  <si>
    <t>Lazasoa (IT)</t>
  </si>
  <si>
    <t>PULSE</t>
  </si>
  <si>
    <t>Consulting</t>
  </si>
  <si>
    <t>(Consulting)</t>
  </si>
  <si>
    <t>Jodlin (Consulting)</t>
  </si>
  <si>
    <t>Lovasoa (CAQ)</t>
  </si>
  <si>
    <t>Mialitiana (CAQ)</t>
  </si>
  <si>
    <t>Miora (CAQ)</t>
  </si>
  <si>
    <t>Princia (CAQ)</t>
  </si>
  <si>
    <t>Murielle (Finances)</t>
  </si>
  <si>
    <t>Narisoa (Finances)</t>
  </si>
  <si>
    <t>Ando
(BD)</t>
  </si>
  <si>
    <t>Ambinintsoa
(BD)</t>
  </si>
  <si>
    <t>Cathicia (BD)</t>
  </si>
  <si>
    <t>Aina (Finances)</t>
  </si>
  <si>
    <t>Fanilo (Finances)</t>
  </si>
  <si>
    <t xml:space="preserve">patrick Mc </t>
  </si>
  <si>
    <t>Joelle (BD)</t>
  </si>
  <si>
    <t>Fenoniaina (BD)</t>
  </si>
  <si>
    <t>Valitiana (Communication)</t>
  </si>
  <si>
    <t xml:space="preserve"> (Assistante Direction)</t>
  </si>
  <si>
    <t>Nathalie (Assistante Direction)</t>
  </si>
  <si>
    <t>Jonathan (Comete)</t>
  </si>
  <si>
    <t>Rojo (BD)</t>
  </si>
  <si>
    <t>Stagiaire (Communication)</t>
  </si>
  <si>
    <t>Laura (Communication)</t>
  </si>
  <si>
    <t>Andry (Communication)</t>
  </si>
  <si>
    <t>Naomy (Communic)</t>
  </si>
  <si>
    <t>BOX 5</t>
  </si>
  <si>
    <t>Malik (CEO)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</si>
</sst>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4">
    <font>
      <sz val="10.0"/>
      <color rgb="FF000000"/>
      <name val="Arial"/>
      <scheme val="minor"/>
    </font>
    <font>
      <color theme="1"/>
      <name val="Poppins"/>
    </font>
    <font>
      <color theme="1"/>
      <name val="Arial"/>
      <scheme val="minor"/>
    </font>
    <font>
      <b/>
      <sz val="17.0"/>
      <color theme="1"/>
      <name val="Poppins"/>
    </font>
    <font>
      <b/>
      <color theme="1"/>
      <name val="Poppins"/>
    </font>
    <font>
      <sz val="9.0"/>
      <color theme="1"/>
      <name val="Poppins"/>
    </font>
    <font>
      <b/>
      <sz val="14.0"/>
      <color rgb="FFFFFFFF"/>
      <name val="Poppins"/>
    </font>
    <font>
      <b/>
      <sz val="18.0"/>
      <color theme="1"/>
      <name val="Poppins"/>
    </font>
    <font>
      <b/>
      <sz val="13.0"/>
      <color rgb="FF666666"/>
      <name val="Poppins"/>
    </font>
    <font>
      <b/>
      <color rgb="FF666666"/>
      <name val="Poppins"/>
    </font>
    <font>
      <b/>
      <sz val="11.0"/>
      <color rgb="FF666666"/>
      <name val="Poppins"/>
    </font>
    <font>
      <b/>
      <sz val="11.0"/>
      <color rgb="FF00AFAA"/>
      <name val="Poppins"/>
    </font>
    <font>
      <b/>
      <sz val="11.0"/>
      <color rgb="FFFFC000"/>
      <name val="Poppins"/>
    </font>
    <font>
      <color rgb="FF434343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000FF"/>
      <name val="Poppins"/>
    </font>
    <font>
      <sz val="11.0"/>
      <color theme="1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b/>
      <color rgb="FFFF0000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563C1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/>
    <font>
      <u/>
      <sz val="11.0"/>
      <color rgb="FF0000FF"/>
      <name val="Poppins"/>
    </font>
    <font>
      <u/>
      <sz val="11.0"/>
      <color rgb="FF0000FF"/>
      <name val="Poppins"/>
    </font>
    <font>
      <sz val="11.0"/>
      <color rgb="FFFFFF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sz val="12.0"/>
      <color theme="1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563C1"/>
      <name val="Poppins"/>
    </font>
    <font>
      <u/>
      <sz val="11.0"/>
      <color rgb="FF0563C1"/>
      <name val="Poppins"/>
    </font>
    <font>
      <u/>
      <sz val="11.0"/>
      <color rgb="FF0563C1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563C1"/>
      <name val="Poppins"/>
    </font>
    <font>
      <b/>
      <sz val="18.0"/>
      <color rgb="FFFFFF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b/>
      <sz val="24.0"/>
      <color rgb="FFFFFFFF"/>
      <name val="Poppins"/>
    </font>
    <font>
      <sz val="18.0"/>
      <color rgb="FFFFFFFF"/>
      <name val="Poppins"/>
    </font>
    <font>
      <u/>
      <sz val="11.0"/>
      <color rgb="FF0000FF"/>
      <name val="Poppins"/>
    </font>
    <font>
      <sz val="11.0"/>
      <color rgb="FF1F1F1F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563C1"/>
      <name val="Poppins"/>
    </font>
    <font>
      <u/>
      <sz val="11.0"/>
      <color rgb="FF0563C1"/>
      <name val="Poppins"/>
    </font>
    <font>
      <u/>
      <sz val="11.0"/>
      <color rgb="FF0563C1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u/>
      <sz val="11.0"/>
      <color rgb="FF0000FF"/>
      <name val="Poppins"/>
    </font>
    <font>
      <sz val="11.0"/>
      <color rgb="FF0563C1"/>
      <name val="Poppins"/>
    </font>
    <font>
      <sz val="12.0"/>
      <color rgb="FFFFFF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sz val="13.0"/>
      <color rgb="FFFFFFFF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sz val="13.0"/>
      <color theme="1"/>
      <name val="Arial"/>
      <scheme val="minor"/>
    </font>
    <font>
      <sz val="13.0"/>
      <color theme="1"/>
      <name val="Poppins"/>
    </font>
    <font>
      <u/>
      <sz val="11.0"/>
      <color rgb="FF0000FF"/>
      <name val="Poppins"/>
    </font>
    <font>
      <u/>
      <sz val="11.0"/>
      <color rgb="FF0000FF"/>
      <name val="Poppins"/>
    </font>
    <font>
      <u/>
      <sz val="11.0"/>
      <color rgb="FF0563C1"/>
      <name val="Poppins"/>
    </font>
    <font>
      <sz val="11.0"/>
      <color rgb="FF444746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AFAA"/>
        <bgColor rgb="FF00AFAA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FBFA"/>
        <bgColor rgb="FFD9FBFA"/>
      </patternFill>
    </fill>
    <fill>
      <patternFill patternType="solid">
        <fgColor rgb="FFEA9999"/>
        <bgColor rgb="FFEA9999"/>
      </patternFill>
    </fill>
    <fill>
      <patternFill patternType="solid">
        <fgColor rgb="FFD1FFEB"/>
        <bgColor rgb="FFD1FFEB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F8F8F8"/>
        <bgColor rgb="FFF8F8F8"/>
      </patternFill>
    </fill>
    <fill>
      <patternFill patternType="solid">
        <fgColor rgb="FF2CB1A8"/>
        <bgColor rgb="FF2CB1A8"/>
      </patternFill>
    </fill>
  </fills>
  <borders count="62">
    <border/>
    <border>
      <left style="medium">
        <color rgb="FF434343"/>
      </left>
      <top style="medium">
        <color rgb="FF434343"/>
      </top>
    </border>
    <border>
      <top style="medium">
        <color rgb="FF434343"/>
      </top>
    </border>
    <border>
      <right style="medium">
        <color rgb="FF434343"/>
      </right>
      <top style="medium">
        <color rgb="FF434343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dotted">
        <color rgb="FF000000"/>
      </top>
    </border>
    <border>
      <top style="medium">
        <color rgb="FF000000"/>
      </top>
    </border>
    <border>
      <left style="medium">
        <color rgb="FF434343"/>
      </left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</border>
    <border>
      <right style="medium">
        <color rgb="FF434343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dotted">
        <color rgb="FF434343"/>
      </right>
      <top style="dotted">
        <color rgb="FF434343"/>
      </top>
      <bottom style="medium">
        <color rgb="FF434343"/>
      </bottom>
    </border>
    <border>
      <left style="dotted">
        <color rgb="FF434343"/>
      </left>
      <right style="medium">
        <color rgb="FF000000"/>
      </right>
      <top style="medium">
        <color rgb="FF434343"/>
      </top>
      <bottom style="dotted">
        <color rgb="FF434343"/>
      </bottom>
    </border>
    <border>
      <left style="dotted">
        <color rgb="FF434343"/>
      </left>
      <right style="medium">
        <color rgb="FF000000"/>
      </right>
      <top style="dotted">
        <color rgb="FF434343"/>
      </top>
      <bottom style="medium">
        <color rgb="FF434343"/>
      </bottom>
    </border>
    <border>
      <left style="dotted">
        <color rgb="FF434343"/>
      </left>
      <right style="medium">
        <color rgb="FF000000"/>
      </right>
      <bottom style="medium">
        <color rgb="FF000000"/>
      </bottom>
    </border>
    <border>
      <left style="dotted">
        <color rgb="FF434343"/>
      </left>
      <right style="medium">
        <color rgb="FF000000"/>
      </right>
      <top style="medium">
        <color rgb="FF000000"/>
      </top>
      <bottom style="dotted">
        <color rgb="FF434343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medium">
        <color rgb="FF000000"/>
      </bottom>
    </border>
    <border>
      <left style="dotted">
        <color rgb="FF434343"/>
      </left>
      <right style="dotted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dotted">
        <color rgb="FF434343"/>
      </right>
      <top style="medium">
        <color rgb="FF434343"/>
      </top>
      <bottom style="medium">
        <color rgb="FF434343"/>
      </bottom>
    </border>
    <border>
      <left style="dotted">
        <color rgb="FF434343"/>
      </left>
      <right style="dotted">
        <color rgb="FF434343"/>
      </right>
      <top style="medium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medium">
        <color rgb="FF434343"/>
      </bottom>
    </border>
    <border>
      <left style="dotted">
        <color rgb="FF434343"/>
      </left>
      <right style="dotted">
        <color rgb="FF434343"/>
      </right>
      <top style="medium">
        <color rgb="FF000000"/>
      </top>
      <bottom style="dotted">
        <color rgb="FF434343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434343"/>
      </right>
      <top style="medium">
        <color rgb="FF434343"/>
      </top>
      <bottom style="dotted">
        <color rgb="FF434343"/>
      </bottom>
    </border>
    <border>
      <right style="dotted">
        <color rgb="FF000000"/>
      </right>
    </border>
    <border>
      <bottom style="dotted">
        <color rgb="FF000000"/>
      </bottom>
    </border>
    <border>
      <left style="medium">
        <color rgb="FF000000"/>
      </left>
      <right style="dotted">
        <color rgb="FF434343"/>
      </right>
      <top style="medium">
        <color rgb="FF000000"/>
      </top>
      <bottom style="dotted">
        <color rgb="FF434343"/>
      </bottom>
    </border>
    <border>
      <left style="dotted">
        <color rgb="FF434343"/>
      </left>
      <right style="medium">
        <color rgb="FF000000"/>
      </right>
      <top style="medium">
        <color rgb="FF434343"/>
      </top>
    </border>
    <border>
      <left style="medium">
        <color rgb="FF434343"/>
      </left>
      <bottom style="medium">
        <color rgb="FF434343"/>
      </bottom>
    </border>
    <border>
      <bottom style="medium">
        <color rgb="FF434343"/>
      </bottom>
    </border>
    <border>
      <right style="medium">
        <color rgb="FF434343"/>
      </right>
      <bottom style="medium">
        <color rgb="FF434343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434343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434343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434343"/>
      </left>
      <top style="medium">
        <color rgb="FF434343"/>
      </top>
      <bottom style="dotted">
        <color rgb="FF434343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434343"/>
      </right>
      <top style="dotted">
        <color rgb="FF434343"/>
      </top>
      <bottom style="medium">
        <color rgb="FF000000"/>
      </bottom>
    </border>
    <border>
      <left style="dotted">
        <color rgb="FF434343"/>
      </left>
      <top style="dotted">
        <color rgb="FF434343"/>
      </top>
      <bottom style="medium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434343"/>
      </bottom>
    </border>
    <border>
      <left style="thin">
        <color rgb="FF000000"/>
      </left>
      <right style="thin">
        <color rgb="FF000000"/>
      </right>
      <top style="dotted">
        <color rgb="FFB7B7B7"/>
      </top>
      <bottom style="thin">
        <color rgb="FF000000"/>
      </bottom>
    </border>
    <border>
      <left style="dotted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000000"/>
      </left>
      <bottom style="medium">
        <color rgb="FF434343"/>
      </bottom>
    </border>
    <border>
      <right style="medium">
        <color rgb="FF000000"/>
      </right>
      <bottom style="medium">
        <color rgb="FF434343"/>
      </bottom>
    </border>
    <border>
      <left style="medium">
        <color rgb="FF000000"/>
      </left>
      <top style="medium">
        <color rgb="FF434343"/>
      </top>
    </border>
    <border>
      <right style="medium">
        <color rgb="FF000000"/>
      </right>
      <top style="medium">
        <color rgb="FF434343"/>
      </top>
    </border>
    <border>
      <left style="dotted">
        <color rgb="FF434343"/>
      </left>
      <right style="medium">
        <color rgb="FF000000"/>
      </right>
      <top style="dotted">
        <color rgb="FF434343"/>
      </top>
      <bottom style="medium">
        <color rgb="FF000000"/>
      </bottom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2" fontId="4" numFmtId="0" xfId="0" applyAlignment="1" applyFill="1" applyFont="1">
      <alignment readingOrder="0" vertical="center"/>
    </xf>
    <xf borderId="0" fillId="2" fontId="1" numFmtId="0" xfId="0" applyAlignment="1" applyFill="1" applyFont="1">
      <alignment readingOrder="0" vertical="center"/>
    </xf>
    <xf borderId="0" fillId="3" fontId="6" numFmtId="0" xfId="0" applyAlignment="1" applyFill="1" applyFont="1">
      <alignment readingOrder="0" vertical="center"/>
    </xf>
    <xf borderId="1" fillId="0" fontId="1" numFmtId="0" xfId="0" applyAlignment="1" applyBorder="1" applyFont="1">
      <alignment vertical="center"/>
    </xf>
    <xf borderId="2" fillId="0" fontId="4" numFmtId="0" xfId="0" applyAlignment="1" applyBorder="1" applyFont="1">
      <alignment horizontal="right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right" readingOrder="0" vertical="center"/>
    </xf>
    <xf borderId="5" fillId="0" fontId="1" numFmtId="0" xfId="0" applyAlignment="1" applyBorder="1" applyFont="1">
      <alignment vertical="center"/>
    </xf>
    <xf borderId="6" fillId="4" fontId="7" numFmtId="0" xfId="0" applyAlignment="1" applyBorder="1" applyFill="1" applyFont="1">
      <alignment horizontal="center" readingOrder="0" textRotation="255" vertical="center"/>
    </xf>
    <xf borderId="7" fillId="0" fontId="1" numFmtId="0" xfId="0" applyAlignment="1" applyBorder="1" applyFont="1">
      <alignment vertical="center"/>
    </xf>
    <xf borderId="0" fillId="2" fontId="2" numFmtId="0" xfId="0" applyAlignment="1" applyFill="1" applyFont="1">
      <alignment vertical="center"/>
    </xf>
    <xf borderId="8" fillId="0" fontId="1" numFmtId="0" xfId="0" applyAlignment="1" applyBorder="1" applyFont="1">
      <alignment vertical="center"/>
    </xf>
    <xf borderId="9" fillId="5" fontId="8" numFmtId="0" xfId="0" applyAlignment="1" applyBorder="1" applyFill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9" numFmtId="0" xfId="0" applyAlignment="1" applyFont="1">
      <alignment horizontal="center" readingOrder="0" vertical="center"/>
    </xf>
    <xf borderId="9" fillId="5" fontId="10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9" fillId="5" fontId="11" numFmtId="0" xfId="0" applyAlignment="1" applyBorder="1" applyFill="1" applyFont="1">
      <alignment horizontal="center" readingOrder="0" vertical="center"/>
    </xf>
    <xf borderId="9" fillId="5" fontId="12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0" fillId="0" fontId="12" numFmtId="0" xfId="0" applyAlignment="1" applyFont="1">
      <alignment horizontal="center" readingOrder="0" vertical="center"/>
    </xf>
    <xf borderId="12" fillId="0" fontId="1" numFmtId="0" xfId="0" applyAlignment="1" applyBorder="1" applyFont="1">
      <alignment vertical="center"/>
    </xf>
    <xf borderId="0" fillId="0" fontId="13" numFmtId="0" xfId="0" applyAlignment="1" applyFont="1">
      <alignment horizontal="left" readingOrder="0" vertical="center"/>
    </xf>
    <xf borderId="13" fillId="3" fontId="14" numFmtId="0" xfId="0" applyAlignment="1" applyBorder="1" applyFill="1" applyFont="1">
      <alignment horizontal="center" readingOrder="0" shrinkToFit="0" vertical="center" wrapText="1"/>
    </xf>
    <xf borderId="14" fillId="6" fontId="15" numFmtId="0" xfId="0" applyAlignment="1" applyBorder="1" applyFill="1" applyFont="1">
      <alignment horizontal="center" readingOrder="0" shrinkToFit="0" vertical="center" wrapText="1"/>
    </xf>
    <xf borderId="15" fillId="6" fontId="16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horizontal="left" vertical="center"/>
    </xf>
    <xf borderId="16" fillId="6" fontId="17" numFmtId="0" xfId="0" applyAlignment="1" applyBorder="1" applyFill="1" applyFont="1">
      <alignment horizontal="center" readingOrder="0" shrinkToFit="0" vertical="center" wrapText="1"/>
    </xf>
    <xf borderId="17" fillId="6" fontId="18" numFmtId="0" xfId="0" applyAlignment="1" applyBorder="1" applyFill="1" applyFont="1">
      <alignment horizontal="center" readingOrder="0" shrinkToFit="0" vertical="center" wrapText="1"/>
    </xf>
    <xf borderId="18" fillId="6" fontId="19" numFmtId="0" xfId="0" applyAlignment="1" applyBorder="1" applyFill="1" applyFont="1">
      <alignment horizontal="center" readingOrder="0" shrinkToFit="0" vertical="center" wrapText="1"/>
    </xf>
    <xf borderId="18" fillId="6" fontId="20" numFmtId="0" xfId="0" applyAlignment="1" applyBorder="1" applyFill="1" applyFont="1">
      <alignment horizontal="center" readingOrder="0" shrinkToFit="0" vertical="center" wrapText="1"/>
    </xf>
    <xf borderId="19" fillId="6" fontId="21" numFmtId="0" xfId="0" applyAlignment="1" applyBorder="1" applyFill="1" applyFont="1">
      <alignment horizontal="center" readingOrder="0" shrinkToFit="0" vertical="center" wrapText="1"/>
    </xf>
    <xf borderId="19" fillId="6" fontId="22" numFmtId="0" xfId="0" applyAlignment="1" applyBorder="1" applyFill="1" applyFont="1">
      <alignment horizontal="center" readingOrder="0" shrinkToFit="0" vertical="center" wrapText="1"/>
    </xf>
    <xf borderId="20" fillId="6" fontId="23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14" fillId="3" fontId="25" numFmtId="0" xfId="0" applyAlignment="1" applyBorder="1" applyFill="1" applyFont="1">
      <alignment horizontal="center" readingOrder="0" shrinkToFit="0" vertical="center" wrapText="1"/>
    </xf>
    <xf borderId="21" fillId="6" fontId="26" numFmtId="0" xfId="0" applyAlignment="1" applyBorder="1" applyFill="1" applyFont="1">
      <alignment horizontal="center" readingOrder="0" shrinkToFit="0" vertical="center" wrapText="1"/>
    </xf>
    <xf borderId="21" fillId="6" fontId="27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horizontal="left" shrinkToFit="0" vertical="center" wrapText="1"/>
    </xf>
    <xf borderId="14" fillId="6" fontId="28" numFmtId="0" xfId="0" applyAlignment="1" applyBorder="1" applyFill="1" applyFont="1">
      <alignment horizontal="center" readingOrder="0" shrinkToFit="0" vertical="center" wrapText="1"/>
    </xf>
    <xf borderId="16" fillId="6" fontId="29" numFmtId="0" xfId="0" applyAlignment="1" applyBorder="1" applyFill="1" applyFont="1">
      <alignment horizontal="center" readingOrder="0" shrinkToFit="0" vertical="center" wrapText="1"/>
    </xf>
    <xf borderId="17" fillId="6" fontId="19" numFmtId="0" xfId="0" applyAlignment="1" applyBorder="1" applyFill="1" applyFont="1">
      <alignment horizontal="center" readingOrder="0" shrinkToFit="0" vertical="center" wrapText="1"/>
    </xf>
    <xf borderId="22" fillId="6" fontId="30" numFmtId="0" xfId="0" applyAlignment="1" applyBorder="1" applyFill="1" applyFont="1">
      <alignment horizontal="center" readingOrder="0" shrinkToFit="0" vertical="center" wrapText="1"/>
    </xf>
    <xf borderId="22" fillId="6" fontId="31" numFmtId="0" xfId="0" applyAlignment="1" applyBorder="1" applyFill="1" applyFont="1">
      <alignment horizontal="center" readingOrder="0" shrinkToFit="0" vertical="center" wrapText="1"/>
    </xf>
    <xf borderId="23" fillId="7" fontId="32" numFmtId="0" xfId="0" applyAlignment="1" applyBorder="1" applyFill="1" applyFont="1">
      <alignment horizontal="center" readingOrder="0" shrinkToFit="0" vertical="center" wrapText="1"/>
    </xf>
    <xf borderId="23" fillId="7" fontId="33" numFmtId="0" xfId="0" applyAlignment="1" applyBorder="1" applyFill="1" applyFont="1">
      <alignment horizontal="center" readingOrder="0" shrinkToFit="0" vertical="center" wrapText="1"/>
    </xf>
    <xf borderId="18" fillId="7" fontId="34" numFmtId="0" xfId="0" applyAlignment="1" applyBorder="1" applyFill="1" applyFont="1">
      <alignment horizontal="center" readingOrder="0" shrinkToFit="0" vertical="center" wrapText="1"/>
    </xf>
    <xf borderId="22" fillId="6" fontId="19" numFmtId="0" xfId="0" applyAlignment="1" applyBorder="1" applyFill="1" applyFont="1">
      <alignment horizontal="center" shrinkToFit="0" vertical="center" wrapText="1"/>
    </xf>
    <xf borderId="15" fillId="3" fontId="35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24" fillId="0" fontId="1" numFmtId="0" xfId="0" applyAlignment="1" applyBorder="1" applyFont="1">
      <alignment shrinkToFit="0" vertical="center" wrapText="1"/>
    </xf>
    <xf borderId="25" fillId="0" fontId="13" numFmtId="0" xfId="0" applyAlignment="1" applyBorder="1" applyFont="1">
      <alignment shrinkToFit="0" vertical="center" wrapText="1"/>
    </xf>
    <xf borderId="25" fillId="0" fontId="1" numFmtId="0" xfId="0" applyAlignment="1" applyBorder="1" applyFont="1">
      <alignment shrinkToFit="0" vertical="center" wrapText="1"/>
    </xf>
    <xf borderId="26" fillId="0" fontId="1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2" fillId="0" fontId="2" numFmtId="0" xfId="0" applyAlignment="1" applyBorder="1" applyFont="1">
      <alignment vertical="center"/>
    </xf>
    <xf borderId="27" fillId="3" fontId="36" numFmtId="0" xfId="0" applyAlignment="1" applyBorder="1" applyFill="1" applyFont="1">
      <alignment horizontal="center" readingOrder="0" shrinkToFit="0" vertical="center" wrapText="1"/>
    </xf>
    <xf borderId="28" fillId="0" fontId="1" numFmtId="0" xfId="0" applyAlignment="1" applyBorder="1" applyFont="1">
      <alignment shrinkToFit="0" vertical="center" wrapText="1"/>
    </xf>
    <xf borderId="21" fillId="6" fontId="19" numFmtId="0" xfId="0" applyAlignment="1" applyBorder="1" applyFill="1" applyFont="1">
      <alignment horizontal="center" shrinkToFit="0" vertical="center" wrapText="1"/>
    </xf>
    <xf borderId="22" fillId="7" fontId="37" numFmtId="0" xfId="0" applyAlignment="1" applyBorder="1" applyFill="1" applyFont="1">
      <alignment horizontal="center" readingOrder="0" shrinkToFit="0" vertical="center" wrapText="1"/>
    </xf>
    <xf borderId="29" fillId="0" fontId="38" numFmtId="0" xfId="0" applyBorder="1" applyFont="1"/>
    <xf borderId="25" fillId="0" fontId="13" numFmtId="0" xfId="0" applyAlignment="1" applyBorder="1" applyFont="1">
      <alignment horizontal="left" shrinkToFit="0" vertical="center" wrapText="1"/>
    </xf>
    <xf borderId="25" fillId="0" fontId="1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30" fillId="6" fontId="19" numFmtId="0" xfId="0" applyAlignment="1" applyBorder="1" applyFill="1" applyFont="1">
      <alignment horizontal="center" readingOrder="0" shrinkToFit="0" vertical="center" wrapText="1"/>
    </xf>
    <xf borderId="27" fillId="6" fontId="39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4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13" fillId="6" fontId="40" numFmtId="0" xfId="0" applyAlignment="1" applyBorder="1" applyFill="1" applyFont="1">
      <alignment horizontal="center" readingOrder="0" shrinkToFit="0" vertical="center" wrapText="1"/>
    </xf>
    <xf borderId="31" fillId="3" fontId="4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32" fillId="0" fontId="1" numFmtId="0" xfId="0" applyAlignment="1" applyBorder="1" applyFont="1">
      <alignment shrinkToFit="0" vertical="center" wrapText="1"/>
    </xf>
    <xf borderId="33" fillId="0" fontId="1" numFmtId="0" xfId="0" applyAlignment="1" applyBorder="1" applyFont="1">
      <alignment shrinkToFit="0" vertical="center" wrapText="1"/>
    </xf>
    <xf borderId="33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shrinkToFit="0" vertical="center" wrapText="1"/>
    </xf>
    <xf borderId="9" fillId="5" fontId="8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2" fillId="0" fontId="1" numFmtId="0" xfId="0" applyAlignment="1" applyBorder="1" applyFont="1">
      <alignment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30" fillId="8" fontId="42" numFmtId="0" xfId="0" applyAlignment="1" applyBorder="1" applyFill="1" applyFont="1">
      <alignment horizontal="center" readingOrder="0" shrinkToFit="0" vertical="center" wrapText="1"/>
    </xf>
    <xf borderId="23" fillId="8" fontId="43" numFmtId="0" xfId="0" applyAlignment="1" applyBorder="1" applyFill="1" applyFont="1">
      <alignment horizontal="center" readingOrder="0" shrinkToFit="0" vertical="center" wrapText="1"/>
    </xf>
    <xf borderId="18" fillId="8" fontId="44" numFmtId="0" xfId="0" applyAlignment="1" applyBorder="1" applyFill="1" applyFont="1">
      <alignment horizontal="center" readingOrder="0" shrinkToFit="0" vertical="center" wrapText="1"/>
    </xf>
    <xf borderId="35" fillId="3" fontId="45" numFmtId="0" xfId="0" applyAlignment="1" applyBorder="1" applyFill="1" applyFont="1">
      <alignment horizontal="center" readingOrder="0" shrinkToFit="0" vertical="center" wrapText="1"/>
    </xf>
    <xf borderId="36" fillId="3" fontId="46" numFmtId="0" xfId="0" applyAlignment="1" applyBorder="1" applyFill="1" applyFont="1">
      <alignment horizontal="center" readingOrder="0" shrinkToFit="0" vertical="center" wrapText="1"/>
    </xf>
    <xf borderId="37" fillId="3" fontId="47" numFmtId="0" xfId="0" applyAlignment="1" applyBorder="1" applyFill="1" applyFont="1">
      <alignment horizontal="center" readingOrder="0" shrinkToFit="0" vertical="center" wrapText="1"/>
    </xf>
    <xf borderId="37" fillId="3" fontId="41" numFmtId="0" xfId="0" applyAlignment="1" applyBorder="1" applyFill="1" applyFont="1">
      <alignment horizontal="center" readingOrder="0" shrinkToFit="0" vertical="center" wrapText="1"/>
    </xf>
    <xf borderId="30" fillId="6" fontId="48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38" fillId="3" fontId="49" numFmtId="0" xfId="0" applyAlignment="1" applyBorder="1" applyFill="1" applyFont="1">
      <alignment horizontal="center" readingOrder="0" shrinkToFit="0" vertical="center" wrapText="1"/>
    </xf>
    <xf borderId="39" fillId="6" fontId="50" numFmtId="0" xfId="0" applyAlignment="1" applyBorder="1" applyFill="1" applyFont="1">
      <alignment horizontal="center" readingOrder="0" shrinkToFit="0" vertical="center" wrapText="1"/>
    </xf>
    <xf borderId="40" fillId="6" fontId="51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9" fillId="5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9" fillId="5" fontId="11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9" fillId="5" fontId="12" numFmtId="0" xfId="0" applyAlignment="1" applyBorder="1" applyFill="1" applyFont="1">
      <alignment horizontal="center" shrinkToFit="0" vertical="center" wrapText="1"/>
    </xf>
    <xf borderId="41" fillId="6" fontId="52" numFmtId="0" xfId="0" applyAlignment="1" applyBorder="1" applyFill="1" applyFont="1">
      <alignment horizontal="center" readingOrder="0" shrinkToFit="0" vertical="center" wrapText="1"/>
    </xf>
    <xf borderId="39" fillId="6" fontId="53" numFmtId="0" xfId="0" applyAlignment="1" applyBorder="1" applyFill="1" applyFont="1">
      <alignment horizontal="center" readingOrder="0" shrinkToFit="0" vertical="center" wrapText="1"/>
    </xf>
    <xf borderId="2" fillId="0" fontId="54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shrinkToFit="0" vertical="center" wrapText="1"/>
    </xf>
    <xf borderId="42" fillId="6" fontId="55" numFmtId="0" xfId="0" applyAlignment="1" applyBorder="1" applyFill="1" applyFont="1">
      <alignment horizontal="center" readingOrder="0" shrinkToFit="0" vertical="center" wrapText="1"/>
    </xf>
    <xf borderId="21" fillId="6" fontId="56" numFmtId="0" xfId="0" applyAlignment="1" applyBorder="1" applyFill="1" applyFont="1">
      <alignment horizontal="center" shrinkToFit="0" wrapText="1"/>
    </xf>
    <xf borderId="14" fillId="6" fontId="57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22" fillId="6" fontId="58" numFmtId="0" xfId="0" applyAlignment="1" applyBorder="1" applyFill="1" applyFont="1">
      <alignment horizontal="center" shrinkToFit="0" wrapText="1"/>
    </xf>
    <xf borderId="15" fillId="6" fontId="59" numFmtId="0" xfId="0" applyAlignment="1" applyBorder="1" applyFill="1" applyFont="1">
      <alignment horizontal="center" shrinkToFit="0" wrapText="1"/>
    </xf>
    <xf borderId="43" fillId="6" fontId="60" numFmtId="0" xfId="0" applyAlignment="1" applyBorder="1" applyFill="1" applyFont="1">
      <alignment horizontal="center" readingOrder="0"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27" fillId="3" fontId="61" numFmtId="0" xfId="0" applyAlignment="1" applyBorder="1" applyFill="1" applyFont="1">
      <alignment horizontal="center" readingOrder="0" shrinkToFit="0" vertical="center" wrapText="1"/>
    </xf>
    <xf borderId="21" fillId="6" fontId="62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vertical="center" wrapText="1"/>
    </xf>
    <xf borderId="44" fillId="6" fontId="63" numFmtId="0" xfId="0" applyAlignment="1" applyBorder="1" applyFill="1" applyFont="1">
      <alignment horizontal="center" readingOrder="0" shrinkToFit="0" vertical="center" wrapText="1"/>
    </xf>
    <xf borderId="45" fillId="6" fontId="64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30" fillId="6" fontId="65" numFmtId="0" xfId="0" applyAlignment="1" applyBorder="1" applyFill="1" applyFont="1">
      <alignment horizontal="center" readingOrder="0" shrinkToFit="0" wrapText="1"/>
    </xf>
    <xf borderId="21" fillId="6" fontId="66" numFmtId="0" xfId="0" applyAlignment="1" applyBorder="1" applyFill="1" applyFont="1">
      <alignment horizontal="center" readingOrder="0" shrinkToFit="0" wrapText="1"/>
    </xf>
    <xf borderId="14" fillId="9" fontId="67" numFmtId="0" xfId="0" applyAlignment="1" applyBorder="1" applyFill="1" applyFont="1">
      <alignment horizontal="center" readingOrder="0" shrinkToFit="0" vertical="center" wrapText="1"/>
    </xf>
    <xf borderId="21" fillId="7" fontId="68" numFmtId="0" xfId="0" applyAlignment="1" applyBorder="1" applyFill="1" applyFont="1">
      <alignment horizontal="center" readingOrder="0" shrinkToFit="0" vertical="center" wrapText="1"/>
    </xf>
    <xf borderId="21" fillId="7" fontId="69" numFmtId="0" xfId="0" applyAlignment="1" applyBorder="1" applyFill="1" applyFont="1">
      <alignment horizontal="center" readingOrder="0" shrinkToFit="0" vertical="center" wrapText="1"/>
    </xf>
    <xf borderId="46" fillId="7" fontId="70" numFmtId="0" xfId="0" applyAlignment="1" applyBorder="1" applyFill="1" applyFont="1">
      <alignment horizontal="center" readingOrder="0" shrinkToFit="0" vertical="center" wrapText="1"/>
    </xf>
    <xf borderId="4" fillId="10" fontId="2" numFmtId="0" xfId="0" applyAlignment="1" applyBorder="1" applyFill="1" applyFont="1">
      <alignment vertical="center"/>
    </xf>
    <xf borderId="47" fillId="4" fontId="2" numFmtId="0" xfId="0" applyAlignment="1" applyBorder="1" applyFill="1" applyFont="1">
      <alignment vertical="center"/>
    </xf>
    <xf borderId="7" fillId="10" fontId="2" numFmtId="0" xfId="0" applyAlignment="1" applyBorder="1" applyFill="1" applyFont="1">
      <alignment vertical="center"/>
    </xf>
    <xf borderId="5" fillId="10" fontId="2" numFmtId="0" xfId="0" applyAlignment="1" applyBorder="1" applyFill="1" applyFont="1">
      <alignment vertical="center"/>
    </xf>
    <xf borderId="46" fillId="7" fontId="71" numFmtId="0" xfId="0" applyAlignment="1" applyBorder="1" applyFill="1" applyFont="1">
      <alignment horizontal="center" readingOrder="0" shrinkToFit="0" vertical="center" wrapText="1"/>
    </xf>
    <xf borderId="13" fillId="3" fontId="72" numFmtId="0" xfId="0" applyAlignment="1" applyBorder="1" applyFill="1" applyFont="1">
      <alignment horizontal="center" readingOrder="0" shrinkToFit="0" vertical="center" wrapText="1"/>
    </xf>
    <xf borderId="11" fillId="10" fontId="73" numFmtId="0" xfId="0" applyAlignment="1" applyBorder="1" applyFill="1" applyFont="1">
      <alignment horizontal="center" readingOrder="0" shrinkToFit="0" textRotation="0" vertical="center" wrapText="1"/>
    </xf>
    <xf borderId="0" fillId="10" fontId="73" numFmtId="0" xfId="0" applyAlignment="1" applyFill="1" applyFont="1">
      <alignment horizontal="center" readingOrder="0" shrinkToFit="0" textRotation="0" vertical="center" wrapText="1"/>
    </xf>
    <xf borderId="12" fillId="10" fontId="73" numFmtId="0" xfId="0" applyAlignment="1" applyBorder="1" applyFill="1" applyFont="1">
      <alignment horizontal="center" readingOrder="0" shrinkToFit="0" textRotation="0" vertical="center" wrapText="1"/>
    </xf>
    <xf borderId="48" fillId="7" fontId="74" numFmtId="0" xfId="0" applyAlignment="1" applyBorder="1" applyFill="1" applyFont="1">
      <alignment horizontal="center" readingOrder="0" shrinkToFit="0" vertical="center" wrapText="1"/>
    </xf>
    <xf borderId="49" fillId="7" fontId="75" numFmtId="0" xfId="0" applyAlignment="1" applyBorder="1" applyFill="1" applyFont="1">
      <alignment horizontal="center" readingOrder="0" shrinkToFit="0" vertical="center" wrapText="1"/>
    </xf>
    <xf borderId="15" fillId="9" fontId="76" numFmtId="0" xfId="0" applyAlignment="1" applyBorder="1" applyFill="1" applyFont="1">
      <alignment horizontal="center" readingOrder="0" shrinkToFit="0" vertical="center" wrapText="1"/>
    </xf>
    <xf borderId="11" fillId="10" fontId="77" numFmtId="0" xfId="0" applyAlignment="1" applyBorder="1" applyFill="1" applyFont="1">
      <alignment horizontal="center" readingOrder="0" shrinkToFit="0" textRotation="0" vertical="center" wrapText="1"/>
    </xf>
    <xf borderId="12" fillId="0" fontId="38" numFmtId="0" xfId="0" applyBorder="1" applyFont="1"/>
    <xf borderId="11" fillId="0" fontId="38" numFmtId="0" xfId="0" applyBorder="1" applyFont="1"/>
    <xf borderId="2" fillId="0" fontId="4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4" fillId="0" fontId="38" numFmtId="0" xfId="0" applyBorder="1" applyFont="1"/>
    <xf borderId="25" fillId="0" fontId="38" numFmtId="0" xfId="0" applyBorder="1" applyFont="1"/>
    <xf borderId="26" fillId="0" fontId="38" numFmtId="0" xfId="0" applyBorder="1" applyFont="1"/>
    <xf borderId="50" fillId="2" fontId="41" numFmtId="0" xfId="0" applyAlignment="1" applyBorder="1" applyFill="1" applyFont="1">
      <alignment horizontal="center" shrinkToFit="0" vertical="center" wrapText="1"/>
    </xf>
    <xf borderId="0" fillId="3" fontId="41" numFmtId="0" xfId="0" applyAlignment="1" applyFill="1" applyFont="1">
      <alignment horizontal="center" shrinkToFit="0" vertical="center" wrapText="1"/>
    </xf>
    <xf borderId="51" fillId="2" fontId="11" numFmtId="0" xfId="0" applyAlignment="1" applyBorder="1" applyFill="1" applyFont="1">
      <alignment horizontal="center" shrinkToFit="0" vertical="center" wrapText="1"/>
    </xf>
    <xf borderId="0" fillId="5" fontId="11" numFmtId="0" xfId="0" applyAlignment="1" applyFill="1" applyFont="1">
      <alignment horizontal="center" shrinkToFit="0" vertical="center" wrapText="1"/>
    </xf>
    <xf borderId="4" fillId="10" fontId="78" numFmtId="0" xfId="0" applyAlignment="1" applyBorder="1" applyFill="1" applyFont="1">
      <alignment horizontal="center" readingOrder="0" shrinkToFit="0" textRotation="0" vertical="center" wrapText="1"/>
    </xf>
    <xf borderId="7" fillId="0" fontId="38" numFmtId="0" xfId="0" applyBorder="1" applyFont="1"/>
    <xf borderId="5" fillId="0" fontId="38" numFmtId="0" xfId="0" applyBorder="1" applyFont="1"/>
    <xf borderId="30" fillId="7" fontId="79" numFmtId="0" xfId="0" applyAlignment="1" applyBorder="1" applyFill="1" applyFont="1">
      <alignment horizontal="center" readingOrder="0" shrinkToFit="0" vertical="center" wrapText="1"/>
    </xf>
    <xf borderId="46" fillId="7" fontId="80" numFmtId="0" xfId="0" applyAlignment="1" applyBorder="1" applyFill="1" applyFont="1">
      <alignment horizontal="center" readingOrder="0" shrinkToFit="0" vertical="center" wrapText="1"/>
    </xf>
    <xf borderId="4" fillId="11" fontId="7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4" fillId="9" fontId="19" numFmtId="0" xfId="0" applyAlignment="1" applyBorder="1" applyFill="1" applyFont="1">
      <alignment horizontal="center" readingOrder="0" shrinkToFit="0" vertical="center" wrapText="1"/>
    </xf>
    <xf borderId="48" fillId="7" fontId="80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shrinkToFit="0" vertical="center" wrapText="1"/>
    </xf>
    <xf borderId="14" fillId="9" fontId="19" numFmtId="0" xfId="0" applyAlignment="1" applyBorder="1" applyFill="1" applyFont="1">
      <alignment horizontal="center" readingOrder="0" shrinkToFit="0" vertical="center" wrapText="1"/>
    </xf>
    <xf borderId="15" fillId="7" fontId="81" numFmtId="0" xfId="0" applyAlignment="1" applyBorder="1" applyFill="1" applyFont="1">
      <alignment horizontal="center" readingOrder="0" shrinkToFit="0" vertical="center" wrapText="1"/>
    </xf>
    <xf borderId="14" fillId="9" fontId="82" numFmtId="0" xfId="0" applyAlignment="1" applyBorder="1" applyFill="1" applyFont="1">
      <alignment horizontal="center" readingOrder="0" shrinkToFit="0" vertical="center" wrapText="1"/>
    </xf>
    <xf borderId="48" fillId="7" fontId="83" numFmtId="0" xfId="0" applyAlignment="1" applyBorder="1" applyFill="1" applyFont="1">
      <alignment horizontal="center" readingOrder="0" shrinkToFit="0" vertical="center" wrapText="1"/>
    </xf>
    <xf borderId="22" fillId="7" fontId="84" numFmtId="0" xfId="0" applyAlignment="1" applyBorder="1" applyFill="1" applyFont="1">
      <alignment horizontal="center" readingOrder="0" shrinkToFit="0" vertical="center" wrapText="1"/>
    </xf>
    <xf borderId="22" fillId="7" fontId="19" numFmtId="0" xfId="0" applyAlignment="1" applyBorder="1" applyFill="1" applyFont="1">
      <alignment horizontal="center" readingOrder="0" shrinkToFit="0" vertical="center" wrapText="1"/>
    </xf>
    <xf borderId="27" fillId="9" fontId="85" numFmtId="0" xfId="0" applyAlignment="1" applyBorder="1" applyFill="1" applyFont="1">
      <alignment horizontal="center" readingOrder="0" shrinkToFit="0" vertical="center" wrapText="1"/>
    </xf>
    <xf borderId="22" fillId="9" fontId="86" numFmtId="0" xfId="0" applyAlignment="1" applyBorder="1" applyFill="1" applyFont="1">
      <alignment horizontal="center" readingOrder="0" shrinkToFit="0" vertical="center" wrapText="1"/>
    </xf>
    <xf borderId="15" fillId="9" fontId="87" numFmtId="0" xfId="0" applyAlignment="1" applyBorder="1" applyFill="1" applyFont="1">
      <alignment horizontal="center" readingOrder="0" shrinkToFit="0" vertical="center" wrapText="1"/>
    </xf>
    <xf borderId="15" fillId="7" fontId="19" numFmtId="0" xfId="0" applyAlignment="1" applyBorder="1" applyFill="1" applyFont="1">
      <alignment horizontal="center" readingOrder="0" shrinkToFit="0" vertical="center" wrapText="1"/>
    </xf>
    <xf borderId="52" fillId="7" fontId="88" numFmtId="0" xfId="0" applyAlignment="1" applyBorder="1" applyFill="1" applyFont="1">
      <alignment horizontal="center" readingOrder="0" shrinkToFit="0" vertical="center" wrapText="1"/>
    </xf>
    <xf borderId="20" fillId="7" fontId="89" numFmtId="0" xfId="0" applyAlignment="1" applyBorder="1" applyFill="1" applyFont="1">
      <alignment horizontal="center" readingOrder="0" shrinkToFit="0" vertical="center" wrapText="1"/>
    </xf>
    <xf borderId="19" fillId="7" fontId="90" numFmtId="0" xfId="0" applyAlignment="1" applyBorder="1" applyFill="1" applyFont="1">
      <alignment horizontal="center" readingOrder="0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22" fillId="7" fontId="91" numFmtId="0" xfId="0" applyAlignment="1" applyBorder="1" applyFill="1" applyFont="1">
      <alignment horizontal="center" readingOrder="0" shrinkToFit="0" vertical="center" wrapText="1"/>
    </xf>
    <xf borderId="13" fillId="9" fontId="4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" fillId="10" fontId="92" numFmtId="0" xfId="0" applyAlignment="1" applyBorder="1" applyFill="1" applyFont="1">
      <alignment horizontal="center" readingOrder="0" shrinkToFit="0" textRotation="0" vertical="center" wrapText="1"/>
    </xf>
    <xf borderId="0" fillId="0" fontId="54" numFmtId="0" xfId="0" applyAlignment="1" applyFont="1">
      <alignment shrinkToFit="0" vertical="center" wrapText="1"/>
    </xf>
    <xf borderId="27" fillId="9" fontId="93" numFmtId="0" xfId="0" applyAlignment="1" applyBorder="1" applyFill="1" applyFont="1">
      <alignment horizontal="center" readingOrder="0" shrinkToFit="0" vertical="center" wrapText="1"/>
    </xf>
    <xf borderId="4" fillId="11" fontId="7" numFmtId="0" xfId="0" applyAlignment="1" applyBorder="1" applyFill="1" applyFont="1">
      <alignment horizontal="center" readingOrder="0" vertical="center"/>
    </xf>
    <xf borderId="9" fillId="5" fontId="12" numFmtId="0" xfId="0" applyAlignment="1" applyBorder="1" applyFill="1" applyFont="1">
      <alignment horizontal="center" readingOrder="0" shrinkToFit="0" vertical="center" wrapText="1"/>
    </xf>
    <xf borderId="25" fillId="0" fontId="1" numFmtId="0" xfId="0" applyAlignment="1" applyBorder="1" applyFont="1">
      <alignment readingOrder="0" shrinkToFit="0" vertical="center" wrapText="1"/>
    </xf>
    <xf borderId="14" fillId="7" fontId="94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shrinkToFit="0" vertical="center" wrapText="1"/>
    </xf>
    <xf borderId="4" fillId="10" fontId="95" numFmtId="0" xfId="0" applyAlignment="1" applyBorder="1" applyFill="1" applyFont="1">
      <alignment horizontal="center" readingOrder="0" shrinkToFit="0" textRotation="0" vertical="center" wrapText="1"/>
    </xf>
    <xf borderId="53" fillId="0" fontId="1" numFmtId="0" xfId="0" applyAlignment="1" applyBorder="1" applyFont="1">
      <alignment shrinkToFit="0" vertical="center" wrapText="1"/>
    </xf>
    <xf borderId="54" fillId="0" fontId="1" numFmtId="0" xfId="0" applyAlignment="1" applyBorder="1" applyFont="1">
      <alignment shrinkToFit="0" vertical="center" wrapText="1"/>
    </xf>
    <xf borderId="27" fillId="9" fontId="19" numFmtId="0" xfId="0" applyAlignment="1" applyBorder="1" applyFill="1" applyFont="1">
      <alignment horizontal="center" readingOrder="0" shrinkToFit="0" vertical="center" wrapText="1"/>
    </xf>
    <xf borderId="30" fillId="6" fontId="19" numFmtId="0" xfId="0" applyAlignment="1" applyBorder="1" applyFill="1" applyFont="1">
      <alignment horizontal="center" shrinkToFit="0" vertical="center" wrapText="1"/>
    </xf>
    <xf borderId="23" fillId="6" fontId="96" numFmtId="0" xfId="0" applyAlignment="1" applyBorder="1" applyFill="1" applyFont="1">
      <alignment horizontal="center" readingOrder="0" shrinkToFit="0" vertical="center" wrapText="1"/>
    </xf>
    <xf borderId="23" fillId="6" fontId="19" numFmtId="0" xfId="0" applyAlignment="1" applyBorder="1" applyFill="1" applyFont="1">
      <alignment horizontal="center" shrinkToFit="0" vertical="center" wrapText="1"/>
    </xf>
    <xf borderId="17" fillId="6" fontId="19" numFmtId="0" xfId="0" applyAlignment="1" applyBorder="1" applyFill="1" applyFont="1">
      <alignment horizontal="center" shrinkToFit="0" vertical="center" wrapText="1"/>
    </xf>
    <xf borderId="55" fillId="0" fontId="1" numFmtId="0" xfId="0" applyAlignment="1" applyBorder="1" applyFont="1">
      <alignment shrinkToFit="0" vertical="center" wrapText="1"/>
    </xf>
    <xf borderId="56" fillId="0" fontId="1" numFmtId="0" xfId="0" applyAlignment="1" applyBorder="1" applyFont="1">
      <alignment shrinkToFit="0" vertical="center" wrapText="1"/>
    </xf>
    <xf borderId="48" fillId="6" fontId="97" numFmtId="0" xfId="0" applyAlignment="1" applyBorder="1" applyFill="1" applyFont="1">
      <alignment horizontal="center" readingOrder="0" shrinkToFit="0" vertical="center" wrapText="1"/>
    </xf>
    <xf borderId="18" fillId="6" fontId="19" numFmtId="0" xfId="0" applyAlignment="1" applyBorder="1" applyFill="1" applyFont="1">
      <alignment horizontal="center" shrinkToFit="0" vertical="center" wrapText="1"/>
    </xf>
    <xf borderId="18" fillId="6" fontId="19" numFmtId="0" xfId="0" applyAlignment="1" applyBorder="1" applyFill="1" applyFont="1">
      <alignment horizontal="center" readingOrder="0" shrinkToFit="0" vertical="center" wrapText="1"/>
    </xf>
    <xf borderId="57" fillId="6" fontId="19" numFmtId="0" xfId="0" applyAlignment="1" applyBorder="1" applyFill="1" applyFont="1">
      <alignment horizontal="center" readingOrder="0" shrinkToFit="0" vertical="center" wrapText="1"/>
    </xf>
    <xf borderId="23" fillId="6" fontId="19" numFmtId="0" xfId="0" applyAlignment="1" applyBorder="1" applyFill="1" applyFont="1">
      <alignment horizontal="center" readingOrder="0" shrinkToFit="0" vertical="center" wrapText="1"/>
    </xf>
    <xf borderId="0" fillId="0" fontId="98" numFmtId="0" xfId="0" applyAlignment="1" applyFont="1">
      <alignment vertical="center"/>
    </xf>
    <xf borderId="0" fillId="0" fontId="99" numFmtId="0" xfId="0" applyAlignment="1" applyFont="1">
      <alignment shrinkToFit="0" vertical="center" wrapText="1"/>
    </xf>
    <xf borderId="13" fillId="9" fontId="100" numFmtId="0" xfId="0" applyAlignment="1" applyBorder="1" applyFill="1" applyFont="1">
      <alignment horizontal="center" readingOrder="0" shrinkToFit="0" vertical="center" wrapText="1"/>
    </xf>
    <xf borderId="48" fillId="6" fontId="19" numFmtId="0" xfId="0" applyAlignment="1" applyBorder="1" applyFill="1" applyFont="1">
      <alignment horizontal="center" readingOrder="0" shrinkToFit="0" vertical="center" wrapText="1"/>
    </xf>
    <xf borderId="57" fillId="6" fontId="101" numFmtId="0" xfId="0" applyAlignment="1" applyBorder="1" applyFill="1" applyFont="1">
      <alignment horizontal="center" readingOrder="0" shrinkToFit="0" vertical="center" wrapText="1"/>
    </xf>
    <xf borderId="15" fillId="7" fontId="19" numFmtId="0" xfId="0" applyAlignment="1" applyBorder="1" applyFill="1" applyFont="1">
      <alignment horizontal="center" readingOrder="0" shrinkToFit="0" vertical="center" wrapText="1"/>
    </xf>
    <xf borderId="18" fillId="6" fontId="102" numFmtId="0" xfId="0" applyAlignment="1" applyBorder="1" applyFill="1" applyFont="1">
      <alignment horizontal="center"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33" fillId="0" fontId="1" numFmtId="0" xfId="0" applyAlignment="1" applyBorder="1" applyFont="1">
      <alignment shrinkToFit="0" vertical="center" wrapText="1"/>
    </xf>
    <xf borderId="0" fillId="4" fontId="103" numFmtId="0" xfId="0" applyAlignment="1" applyFill="1" applyFont="1">
      <alignment shrinkToFit="0" wrapText="0"/>
    </xf>
    <xf borderId="33" fillId="0" fontId="1" numFmtId="0" xfId="0" applyAlignment="1" applyBorder="1" applyFont="1">
      <alignment horizontal="center" readingOrder="0" shrinkToFit="0" vertical="center" wrapText="1"/>
    </xf>
    <xf borderId="58" fillId="0" fontId="7" numFmtId="0" xfId="0" applyAlignment="1" applyBorder="1" applyFont="1">
      <alignment horizontal="center" readingOrder="0" shrinkToFit="0" vertical="center" wrapText="1"/>
    </xf>
    <xf borderId="6" fillId="0" fontId="38" numFmtId="0" xfId="0" applyBorder="1" applyFont="1"/>
    <xf borderId="59" fillId="0" fontId="38" numFmtId="0" xfId="0" applyBorder="1" applyFont="1"/>
    <xf borderId="4" fillId="12" fontId="95" numFmtId="0" xfId="0" applyAlignment="1" applyBorder="1" applyFill="1" applyFont="1">
      <alignment horizontal="center" readingOrder="0" shrinkToFit="0" textRotation="0" vertical="center" wrapText="1"/>
    </xf>
    <xf borderId="60" fillId="0" fontId="38" numFmtId="0" xfId="0" applyBorder="1" applyFont="1"/>
    <xf borderId="61" fillId="0" fontId="38" numFmtId="0" xfId="0" applyBorder="1" applyFont="1"/>
    <xf borderId="0" fillId="0" fontId="1" numFmtId="0" xfId="0" applyAlignment="1" applyFont="1">
      <alignment vertical="center"/>
    </xf>
  </cellXfs>
  <cellStyles count="1">
    <cellStyle xfId="0" name="Normal" builtinId="0"/>
  </cellStyles>
  <dxfs count="1">
    <dxf>
      <font>
        <color rgb="FFBF9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142875</xdr:rowOff>
    </xdr:from>
    <xdr:ext cx="2819400" cy="9239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9</xdr:row>
      <xdr:rowOff>152400</xdr:rowOff>
    </xdr:from>
    <xdr:ext cx="723900" cy="7239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152400</xdr:colOff>
      <xdr:row>79</xdr:row>
      <xdr:rowOff>76200</xdr:rowOff>
    </xdr:from>
    <xdr:ext cx="590550" cy="5905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942975</xdr:colOff>
      <xdr:row>36</xdr:row>
      <xdr:rowOff>152400</xdr:rowOff>
    </xdr:from>
    <xdr:ext cx="981075" cy="98107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600075</xdr:colOff>
      <xdr:row>2</xdr:row>
      <xdr:rowOff>228600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638175</xdr:colOff>
      <xdr:row>3</xdr:row>
      <xdr:rowOff>238125</xdr:rowOff>
    </xdr:from>
    <xdr:ext cx="228600" cy="22860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4</xdr:row>
      <xdr:rowOff>247650</xdr:rowOff>
    </xdr:from>
    <xdr:ext cx="295275" cy="295275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600075</xdr:colOff>
      <xdr:row>69</xdr:row>
      <xdr:rowOff>390525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600075</xdr:colOff>
      <xdr:row>72</xdr:row>
      <xdr:rowOff>390525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600075</xdr:colOff>
      <xdr:row>75</xdr:row>
      <xdr:rowOff>390525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600075</xdr:colOff>
      <xdr:row>68</xdr:row>
      <xdr:rowOff>390525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600075</xdr:colOff>
      <xdr:row>36</xdr:row>
      <xdr:rowOff>390525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600075</xdr:colOff>
      <xdr:row>32</xdr:row>
      <xdr:rowOff>390525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600075</xdr:colOff>
      <xdr:row>29</xdr:row>
      <xdr:rowOff>390525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600075</xdr:colOff>
      <xdr:row>31</xdr:row>
      <xdr:rowOff>390525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600075</xdr:colOff>
      <xdr:row>31</xdr:row>
      <xdr:rowOff>390525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600075</xdr:colOff>
      <xdr:row>31</xdr:row>
      <xdr:rowOff>390525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600075</xdr:colOff>
      <xdr:row>29</xdr:row>
      <xdr:rowOff>390525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600075</xdr:colOff>
      <xdr:row>31</xdr:row>
      <xdr:rowOff>38100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876300</xdr:colOff>
      <xdr:row>76</xdr:row>
      <xdr:rowOff>47625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600075</xdr:colOff>
      <xdr:row>20</xdr:row>
      <xdr:rowOff>228600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600075</xdr:colOff>
      <xdr:row>21</xdr:row>
      <xdr:rowOff>228600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600075</xdr:colOff>
      <xdr:row>21</xdr:row>
      <xdr:rowOff>228600</xdr:rowOff>
    </xdr:from>
    <xdr:ext cx="295275" cy="2952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co22214q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4.25"/>
    <col customWidth="1" min="3" max="3" width="13.63"/>
    <col customWidth="1" min="8" max="8" width="15.5"/>
    <col customWidth="1" min="13" max="13" width="16.63"/>
    <col customWidth="1" min="14" max="14" width="3.38"/>
    <col customWidth="1" min="15" max="15" width="4.25"/>
    <col customWidth="1" min="16" max="16" width="13.63"/>
    <col customWidth="1" min="17" max="22" width="12.63"/>
    <col customWidth="1" min="28" max="28" width="12.63"/>
    <col customWidth="1" min="32" max="32" width="12.63"/>
    <col customWidth="1" min="33" max="34" width="3.38"/>
    <col customWidth="1" min="35" max="45" width="12.63"/>
    <col customWidth="1" min="46" max="46" width="3.13"/>
    <col customWidth="1" min="47" max="47" width="12.13"/>
    <col customWidth="1" min="48" max="48" width="119.13"/>
    <col customWidth="1" min="49" max="57" width="12.1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4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ht="21.0" customHeight="1">
      <c r="A2" s="2"/>
      <c r="B2" s="2"/>
      <c r="C2" s="2"/>
      <c r="D2" s="2"/>
      <c r="E2" s="2"/>
      <c r="F2" s="2"/>
      <c r="G2" s="5"/>
      <c r="H2" s="6"/>
      <c r="I2" s="6" t="s">
        <v>1</v>
      </c>
      <c r="M2" s="2"/>
      <c r="N2" s="2"/>
      <c r="O2" s="2"/>
      <c r="P2" s="2"/>
      <c r="Q2" s="2"/>
      <c r="R2" s="2"/>
      <c r="S2" s="2"/>
      <c r="T2" s="6"/>
      <c r="AF2" s="5"/>
      <c r="AG2" s="5"/>
      <c r="AH2" s="5"/>
      <c r="AI2" s="2"/>
      <c r="AJ2" s="2"/>
      <c r="AK2" s="2"/>
      <c r="AL2" s="2"/>
      <c r="AM2" s="2"/>
      <c r="AN2" s="2"/>
      <c r="AO2" s="6"/>
      <c r="AU2" s="4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ht="21.0" customHeight="1">
      <c r="A3" s="2"/>
      <c r="B3" s="2"/>
      <c r="C3" s="2"/>
      <c r="D3" s="2"/>
      <c r="E3" s="2"/>
      <c r="F3" s="2"/>
      <c r="G3" s="6"/>
      <c r="H3" s="6"/>
      <c r="M3" s="2"/>
      <c r="N3" s="2"/>
      <c r="O3" s="2"/>
      <c r="P3" s="2"/>
      <c r="Q3" s="2"/>
      <c r="R3" s="2"/>
      <c r="S3" s="2"/>
      <c r="AF3" s="5"/>
      <c r="AG3" s="5"/>
      <c r="AH3" s="5"/>
      <c r="AI3" s="2"/>
      <c r="AJ3" s="2"/>
      <c r="AK3" s="2"/>
      <c r="AL3" s="2"/>
      <c r="AM3" s="2"/>
      <c r="AN3" s="2"/>
      <c r="AU3" s="4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ht="21.0" customHeight="1">
      <c r="A4" s="2"/>
      <c r="B4" s="2"/>
      <c r="C4" s="2"/>
      <c r="D4" s="2"/>
      <c r="E4" s="2"/>
      <c r="F4" s="2"/>
      <c r="G4" s="7"/>
      <c r="J4" s="8" t="s">
        <v>2</v>
      </c>
      <c r="K4" s="5"/>
      <c r="L4" s="3"/>
      <c r="M4" s="2"/>
      <c r="N4" s="2"/>
      <c r="O4" s="2"/>
      <c r="P4" s="2"/>
      <c r="Q4" s="3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4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ht="21.0" customHeight="1">
      <c r="A5" s="9"/>
      <c r="B5" s="9"/>
      <c r="C5" s="9" t="s">
        <v>3</v>
      </c>
      <c r="D5" s="2"/>
      <c r="E5" s="2"/>
      <c r="F5" s="2"/>
      <c r="G5" s="10"/>
      <c r="H5" s="10"/>
      <c r="I5" s="10"/>
      <c r="J5" s="8" t="s">
        <v>4</v>
      </c>
      <c r="K5" s="5"/>
      <c r="L5" s="3"/>
      <c r="M5" s="9"/>
      <c r="N5" s="9"/>
      <c r="O5" s="9"/>
      <c r="P5" s="9"/>
      <c r="Q5" s="3"/>
      <c r="R5" s="3"/>
      <c r="S5" s="3"/>
      <c r="T5" s="3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9"/>
      <c r="AJ5" s="9"/>
      <c r="AK5" s="9"/>
      <c r="AL5" s="2"/>
      <c r="AM5" s="2"/>
      <c r="AN5" s="2"/>
      <c r="AO5" s="2"/>
      <c r="AP5" s="2"/>
      <c r="AQ5" s="2"/>
      <c r="AR5" s="2"/>
      <c r="AS5" s="2"/>
      <c r="AT5" s="2"/>
      <c r="AU5" s="11"/>
      <c r="AV5" s="9"/>
      <c r="AW5" s="9"/>
      <c r="AX5" s="9"/>
      <c r="AY5" s="9"/>
      <c r="AZ5" s="9"/>
      <c r="BA5" s="9"/>
      <c r="BB5" s="9"/>
      <c r="BC5" s="9"/>
      <c r="BD5" s="9"/>
      <c r="BE5" s="9"/>
    </row>
    <row r="6" ht="21.0" customHeight="1">
      <c r="A6" s="1"/>
      <c r="B6" s="1"/>
      <c r="D6" s="5"/>
      <c r="E6" s="5"/>
      <c r="F6" s="2"/>
      <c r="G6" s="3"/>
      <c r="H6" s="3"/>
      <c r="I6" s="3"/>
      <c r="J6" s="8" t="s">
        <v>5</v>
      </c>
      <c r="K6" s="5"/>
      <c r="L6" s="5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1"/>
      <c r="AJ6" s="1"/>
      <c r="AK6" s="1"/>
      <c r="AL6" s="2"/>
      <c r="AM6" s="2"/>
      <c r="AN6" s="2"/>
      <c r="AO6" s="2"/>
      <c r="AP6" s="2"/>
      <c r="AQ6" s="2"/>
      <c r="AR6" s="2"/>
      <c r="AS6" s="2"/>
      <c r="AT6" s="2"/>
      <c r="AU6" s="12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ht="21.0" customHeight="1">
      <c r="A7" s="2"/>
      <c r="B7" s="2"/>
      <c r="C7" s="5"/>
      <c r="D7" s="5"/>
      <c r="E7" s="5"/>
      <c r="F7" s="1" t="s">
        <v>6</v>
      </c>
      <c r="G7" s="1" t="s">
        <v>7</v>
      </c>
      <c r="H7" s="1" t="s">
        <v>8</v>
      </c>
      <c r="I7" s="1" t="s">
        <v>9</v>
      </c>
      <c r="J7" s="2"/>
      <c r="K7" s="2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4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ht="21.0" customHeight="1">
      <c r="A8" s="2"/>
      <c r="B8" s="2"/>
      <c r="C8" s="13" t="s">
        <v>10</v>
      </c>
      <c r="D8" s="2"/>
      <c r="E8" s="2"/>
      <c r="F8" s="2">
        <f t="shared" ref="F8:H8" si="1">COUNTIFS($10:$82,F$7)</f>
        <v>1</v>
      </c>
      <c r="G8" s="2">
        <f t="shared" si="1"/>
        <v>0</v>
      </c>
      <c r="H8" s="2">
        <f t="shared" si="1"/>
        <v>3</v>
      </c>
      <c r="I8" s="2">
        <f>SUM(F8:H8)</f>
        <v>4</v>
      </c>
      <c r="J8" s="2"/>
      <c r="K8" s="2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13" t="s">
        <v>11</v>
      </c>
      <c r="AL8" s="2"/>
      <c r="AM8" s="2"/>
      <c r="AN8" s="2"/>
      <c r="AO8" s="2"/>
      <c r="AP8" s="2"/>
      <c r="AQ8" s="2"/>
      <c r="AR8" s="2"/>
      <c r="AS8" s="2"/>
      <c r="AT8" s="2"/>
      <c r="AU8" s="4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ht="21.0" customHeight="1">
      <c r="A9" s="2"/>
      <c r="B9" s="2"/>
      <c r="C9" s="2"/>
      <c r="D9" s="2"/>
      <c r="E9" s="10"/>
      <c r="F9" s="10"/>
      <c r="G9" s="10"/>
      <c r="H9" s="2"/>
      <c r="I9" s="2"/>
      <c r="J9" s="2"/>
      <c r="K9" s="2"/>
      <c r="L9" s="3"/>
      <c r="M9" s="2"/>
      <c r="N9" s="2"/>
      <c r="O9" s="2"/>
      <c r="P9" s="2"/>
      <c r="Q9" s="2"/>
      <c r="R9" s="10"/>
      <c r="S9" s="10"/>
      <c r="T9" s="10"/>
      <c r="U9" s="2"/>
      <c r="V9" s="2"/>
      <c r="W9" s="2"/>
      <c r="X9" s="2"/>
      <c r="Y9" s="2"/>
      <c r="Z9" s="2"/>
      <c r="AA9" s="2"/>
      <c r="AB9" s="10"/>
      <c r="AC9" s="10"/>
      <c r="AD9" s="10"/>
      <c r="AE9" s="2"/>
      <c r="AF9" s="2"/>
      <c r="AG9" s="2"/>
      <c r="AH9" s="2"/>
      <c r="AI9" s="2"/>
      <c r="AJ9" s="2"/>
      <c r="AK9" s="10"/>
      <c r="AL9" s="10"/>
      <c r="AM9" s="10"/>
      <c r="AN9" s="2"/>
      <c r="AO9" s="2"/>
      <c r="AP9" s="2"/>
      <c r="AQ9" s="2"/>
      <c r="AR9" s="2"/>
      <c r="AS9" s="2"/>
      <c r="AT9" s="2"/>
      <c r="AU9" s="4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ht="31.5" customHeight="1">
      <c r="A10" s="2"/>
      <c r="B10" s="14"/>
      <c r="C10" s="15"/>
      <c r="D10" s="16"/>
      <c r="E10" s="16"/>
      <c r="F10" s="16"/>
      <c r="G10" s="16"/>
      <c r="H10" s="16"/>
      <c r="I10" s="17"/>
      <c r="J10" s="16"/>
      <c r="K10" s="17"/>
      <c r="L10" s="18"/>
      <c r="M10" s="19"/>
      <c r="N10" s="2"/>
      <c r="O10" s="20"/>
      <c r="P10" s="15"/>
      <c r="Q10" s="16"/>
      <c r="R10" s="16"/>
      <c r="S10" s="16"/>
      <c r="T10" s="16"/>
      <c r="U10" s="21"/>
      <c r="V10" s="16"/>
      <c r="W10" s="22"/>
      <c r="X10" s="23" t="s">
        <v>12</v>
      </c>
      <c r="Y10" s="20"/>
      <c r="Z10" s="15"/>
      <c r="AA10" s="16"/>
      <c r="AB10" s="16"/>
      <c r="AC10" s="16"/>
      <c r="AD10" s="16"/>
      <c r="AE10" s="24"/>
      <c r="AF10" s="24"/>
      <c r="AG10" s="22"/>
      <c r="AH10" s="14"/>
      <c r="AI10" s="15"/>
      <c r="AJ10" s="16"/>
      <c r="AK10" s="16"/>
      <c r="AL10" s="16"/>
      <c r="AM10" s="16"/>
      <c r="AN10" s="17"/>
      <c r="AO10" s="17"/>
      <c r="AP10" s="17"/>
      <c r="AQ10" s="17"/>
      <c r="AR10" s="17"/>
      <c r="AS10" s="18"/>
      <c r="AT10" s="19"/>
      <c r="AU10" s="2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ht="31.5" customHeight="1">
      <c r="A11" s="2"/>
      <c r="B11" s="26"/>
      <c r="C11" s="27" t="s">
        <v>13</v>
      </c>
      <c r="D11" s="28"/>
      <c r="E11" s="2"/>
      <c r="F11" s="29" t="s">
        <v>14</v>
      </c>
      <c r="G11" s="30">
        <f>I11+J11</f>
        <v>60</v>
      </c>
      <c r="H11" s="31" t="s">
        <v>15</v>
      </c>
      <c r="I11" s="32">
        <f>COUNTA(D13:L22)-J11</f>
        <v>60</v>
      </c>
      <c r="J11" s="33">
        <f>COUNTIFS(D13:L22,"*VIDE*")</f>
        <v>0</v>
      </c>
      <c r="K11" s="2"/>
      <c r="L11" s="5"/>
      <c r="M11" s="34"/>
      <c r="N11" s="2"/>
      <c r="O11" s="35"/>
      <c r="P11" s="27" t="s">
        <v>13</v>
      </c>
      <c r="Q11" s="29" t="s">
        <v>14</v>
      </c>
      <c r="R11" s="30">
        <f>T11+V11</f>
        <v>18</v>
      </c>
      <c r="S11" s="31" t="s">
        <v>15</v>
      </c>
      <c r="T11" s="32">
        <f>COUNTA(Q13:W17)-V11</f>
        <v>18</v>
      </c>
      <c r="U11" s="36" t="s">
        <v>16</v>
      </c>
      <c r="V11" s="33">
        <f>COUNTIFS(Q13:W17,"*VIDE*")</f>
        <v>0</v>
      </c>
      <c r="W11" s="37"/>
      <c r="Y11" s="35"/>
      <c r="Z11" s="27" t="s">
        <v>17</v>
      </c>
      <c r="AA11" s="29" t="s">
        <v>14</v>
      </c>
      <c r="AB11" s="30">
        <f>AD11+AF11</f>
        <v>30</v>
      </c>
      <c r="AC11" s="31" t="s">
        <v>15</v>
      </c>
      <c r="AD11" s="32">
        <f>COUNTA(AA13:AF20)-AF11</f>
        <v>30</v>
      </c>
      <c r="AE11" s="36" t="s">
        <v>16</v>
      </c>
      <c r="AF11" s="33">
        <f>COUNTIFS(AA13:AF20,"*VIDE*")</f>
        <v>0</v>
      </c>
      <c r="AG11" s="37"/>
      <c r="AH11" s="26"/>
      <c r="AI11" s="27" t="s">
        <v>13</v>
      </c>
      <c r="AJ11" s="28"/>
      <c r="AK11" s="2"/>
      <c r="AL11" s="29" t="s">
        <v>14</v>
      </c>
      <c r="AM11" s="30">
        <f>AO11+AQ11</f>
        <v>46</v>
      </c>
      <c r="AN11" s="31" t="s">
        <v>15</v>
      </c>
      <c r="AO11" s="32">
        <f>COUNTA(AJ13:AS19)-AQ11</f>
        <v>46</v>
      </c>
      <c r="AP11" s="36" t="s">
        <v>16</v>
      </c>
      <c r="AQ11" s="33">
        <f>COUNTIFS(AJ13:AS19,"*VIDE*")</f>
        <v>0</v>
      </c>
      <c r="AR11" s="2"/>
      <c r="AS11" s="5"/>
      <c r="AT11" s="34"/>
      <c r="AU11" s="2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ht="31.5" customHeight="1">
      <c r="A12" s="2"/>
      <c r="B12" s="26"/>
      <c r="C12" s="2"/>
      <c r="D12" s="2"/>
      <c r="E12" s="2"/>
      <c r="F12" s="2"/>
      <c r="G12" s="2"/>
      <c r="H12" s="2"/>
      <c r="I12" s="2"/>
      <c r="J12" s="2"/>
      <c r="K12" s="2"/>
      <c r="L12" s="3"/>
      <c r="M12" s="34"/>
      <c r="N12" s="2"/>
      <c r="O12" s="35"/>
      <c r="P12" s="2"/>
      <c r="Q12" s="2"/>
      <c r="R12" s="2"/>
      <c r="S12" s="2"/>
      <c r="T12" s="2"/>
      <c r="U12" s="2"/>
      <c r="V12" s="2"/>
      <c r="W12" s="37"/>
      <c r="Y12" s="35"/>
      <c r="Z12" s="2"/>
      <c r="AA12" s="2"/>
      <c r="AB12" s="2"/>
      <c r="AC12" s="2"/>
      <c r="AD12" s="2"/>
      <c r="AE12" s="2"/>
      <c r="AF12" s="2"/>
      <c r="AG12" s="37"/>
      <c r="AH12" s="26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3"/>
      <c r="AT12" s="34"/>
      <c r="AU12" s="2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ht="31.5" customHeight="1">
      <c r="A13" s="2"/>
      <c r="B13" s="26"/>
      <c r="C13" s="38" t="s">
        <v>18</v>
      </c>
      <c r="D13" s="2"/>
      <c r="E13" s="39" t="s">
        <v>19</v>
      </c>
      <c r="F13" s="39" t="s">
        <v>19</v>
      </c>
      <c r="G13" s="40" t="s">
        <v>19</v>
      </c>
      <c r="H13" s="40" t="s">
        <v>19</v>
      </c>
      <c r="I13" s="41" t="s">
        <v>19</v>
      </c>
      <c r="J13" s="41" t="s">
        <v>19</v>
      </c>
      <c r="K13" s="2"/>
      <c r="L13" s="3"/>
      <c r="M13" s="34"/>
      <c r="N13" s="2"/>
      <c r="O13" s="35"/>
      <c r="P13" s="42" t="s">
        <v>20</v>
      </c>
      <c r="Q13" s="40" t="s">
        <v>21</v>
      </c>
      <c r="R13" s="40" t="s">
        <v>21</v>
      </c>
      <c r="S13" s="40" t="s">
        <v>21</v>
      </c>
      <c r="T13" s="40" t="s">
        <v>21</v>
      </c>
      <c r="U13" s="40" t="s">
        <v>21</v>
      </c>
      <c r="V13" s="40" t="s">
        <v>21</v>
      </c>
      <c r="W13" s="37"/>
      <c r="Y13" s="35"/>
      <c r="Z13" s="38" t="s">
        <v>18</v>
      </c>
      <c r="AA13" s="43" t="s">
        <v>22</v>
      </c>
      <c r="AB13" s="44" t="s">
        <v>23</v>
      </c>
      <c r="AC13" s="45" t="s">
        <v>24</v>
      </c>
      <c r="AD13" s="46" t="s">
        <v>24</v>
      </c>
      <c r="AE13" s="47" t="s">
        <v>25</v>
      </c>
      <c r="AF13" s="48" t="s">
        <v>26</v>
      </c>
      <c r="AG13" s="37"/>
      <c r="AH13" s="26"/>
      <c r="AI13" s="38" t="s">
        <v>27</v>
      </c>
      <c r="AJ13" s="2"/>
      <c r="AK13" s="2"/>
      <c r="AL13" s="49" t="s">
        <v>28</v>
      </c>
      <c r="AM13" s="48" t="s">
        <v>29</v>
      </c>
      <c r="AN13" s="48" t="s">
        <v>29</v>
      </c>
      <c r="AO13" s="48" t="s">
        <v>29</v>
      </c>
      <c r="AP13" s="48" t="s">
        <v>29</v>
      </c>
      <c r="AQ13" s="48" t="s">
        <v>30</v>
      </c>
      <c r="AR13" s="2"/>
      <c r="AS13" s="3"/>
      <c r="AT13" s="34"/>
      <c r="AU13" s="2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ht="31.5" customHeight="1">
      <c r="A14" s="50"/>
      <c r="B14" s="51"/>
      <c r="C14" s="52"/>
      <c r="D14" s="50"/>
      <c r="E14" s="50"/>
      <c r="F14" s="50"/>
      <c r="G14" s="50"/>
      <c r="H14" s="50"/>
      <c r="I14" s="50"/>
      <c r="J14" s="50"/>
      <c r="K14" s="50"/>
      <c r="L14" s="53"/>
      <c r="M14" s="54"/>
      <c r="N14" s="50"/>
      <c r="O14" s="55"/>
      <c r="P14" s="52"/>
      <c r="Q14" s="56"/>
      <c r="R14" s="56"/>
      <c r="S14" s="56"/>
      <c r="T14" s="56"/>
      <c r="U14" s="56"/>
      <c r="V14" s="56"/>
      <c r="W14" s="37"/>
      <c r="Y14" s="55"/>
      <c r="Z14" s="52"/>
      <c r="AA14" s="50"/>
      <c r="AB14" s="50"/>
      <c r="AC14" s="50"/>
      <c r="AD14" s="50"/>
      <c r="AE14" s="50"/>
      <c r="AF14" s="50"/>
      <c r="AG14" s="37"/>
      <c r="AH14" s="51"/>
      <c r="AI14" s="52"/>
      <c r="AJ14" s="50"/>
      <c r="AK14" s="50"/>
      <c r="AL14" s="50"/>
      <c r="AM14" s="50"/>
      <c r="AN14" s="50"/>
      <c r="AO14" s="50"/>
      <c r="AP14" s="50"/>
      <c r="AQ14" s="50"/>
      <c r="AR14" s="50"/>
      <c r="AS14" s="53"/>
      <c r="AT14" s="54"/>
      <c r="AU14" s="2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>
      <c r="A15" s="50"/>
      <c r="B15" s="51"/>
      <c r="C15" s="57" t="s">
        <v>27</v>
      </c>
      <c r="D15" s="58" t="s">
        <v>31</v>
      </c>
      <c r="E15" s="59" t="s">
        <v>32</v>
      </c>
      <c r="F15" s="60" t="s">
        <v>33</v>
      </c>
      <c r="G15" s="60" t="s">
        <v>34</v>
      </c>
      <c r="H15" s="60" t="s">
        <v>35</v>
      </c>
      <c r="I15" s="59" t="s">
        <v>36</v>
      </c>
      <c r="J15" s="60" t="s">
        <v>37</v>
      </c>
      <c r="K15" s="60" t="s">
        <v>38</v>
      </c>
      <c r="L15" s="40" t="s">
        <v>19</v>
      </c>
      <c r="M15" s="40" t="s">
        <v>39</v>
      </c>
      <c r="N15" s="50"/>
      <c r="O15" s="55"/>
      <c r="P15" s="61" t="s">
        <v>40</v>
      </c>
      <c r="Q15" s="40" t="s">
        <v>21</v>
      </c>
      <c r="R15" s="62" t="s">
        <v>21</v>
      </c>
      <c r="S15" s="40" t="s">
        <v>21</v>
      </c>
      <c r="T15" s="40" t="s">
        <v>21</v>
      </c>
      <c r="U15" s="40" t="s">
        <v>21</v>
      </c>
      <c r="V15" s="40" t="s">
        <v>21</v>
      </c>
      <c r="W15" s="37"/>
      <c r="Y15" s="55"/>
      <c r="Z15" s="57" t="s">
        <v>20</v>
      </c>
      <c r="AA15" s="44" t="s">
        <v>41</v>
      </c>
      <c r="AB15" s="44" t="s">
        <v>41</v>
      </c>
      <c r="AC15" s="44" t="s">
        <v>41</v>
      </c>
      <c r="AD15" s="63" t="s">
        <v>42</v>
      </c>
      <c r="AE15" s="63" t="s">
        <v>42</v>
      </c>
      <c r="AF15" s="63" t="s">
        <v>42</v>
      </c>
      <c r="AG15" s="37"/>
      <c r="AH15" s="51"/>
      <c r="AI15" s="57" t="s">
        <v>43</v>
      </c>
      <c r="AJ15" s="64" t="s">
        <v>29</v>
      </c>
      <c r="AK15" s="60" t="s">
        <v>29</v>
      </c>
      <c r="AL15" s="60" t="s">
        <v>29</v>
      </c>
      <c r="AM15" s="60" t="s">
        <v>29</v>
      </c>
      <c r="AN15" s="60" t="s">
        <v>29</v>
      </c>
      <c r="AO15" s="60" t="s">
        <v>29</v>
      </c>
      <c r="AP15" s="60" t="s">
        <v>44</v>
      </c>
      <c r="AQ15" s="60" t="s">
        <v>44</v>
      </c>
      <c r="AR15" s="60" t="s">
        <v>44</v>
      </c>
      <c r="AS15" s="58" t="s">
        <v>45</v>
      </c>
      <c r="AT15" s="54"/>
      <c r="AU15" s="2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>
      <c r="A16" s="50"/>
      <c r="B16" s="51"/>
      <c r="D16" s="39" t="s">
        <v>46</v>
      </c>
      <c r="E16" s="65" t="s">
        <v>47</v>
      </c>
      <c r="F16" s="65" t="s">
        <v>48</v>
      </c>
      <c r="G16" s="65" t="s">
        <v>49</v>
      </c>
      <c r="H16" s="65" t="s">
        <v>50</v>
      </c>
      <c r="I16" s="65" t="s">
        <v>51</v>
      </c>
      <c r="J16" s="65" t="s">
        <v>52</v>
      </c>
      <c r="K16" s="41" t="s">
        <v>19</v>
      </c>
      <c r="L16" s="41" t="s">
        <v>19</v>
      </c>
      <c r="M16" s="41" t="s">
        <v>19</v>
      </c>
      <c r="N16" s="50"/>
      <c r="O16" s="55"/>
      <c r="Q16" s="60" t="s">
        <v>21</v>
      </c>
      <c r="R16" s="60" t="s">
        <v>21</v>
      </c>
      <c r="S16" s="60" t="s">
        <v>21</v>
      </c>
      <c r="T16" s="59" t="s">
        <v>53</v>
      </c>
      <c r="U16" s="66" t="s">
        <v>53</v>
      </c>
      <c r="V16" s="59" t="s">
        <v>54</v>
      </c>
      <c r="W16" s="37"/>
      <c r="Y16" s="55"/>
      <c r="AA16" s="67" t="s">
        <v>24</v>
      </c>
      <c r="AB16" s="68" t="s">
        <v>24</v>
      </c>
      <c r="AC16" s="68" t="s">
        <v>24</v>
      </c>
      <c r="AD16" s="69" t="s">
        <v>55</v>
      </c>
      <c r="AE16" s="69" t="s">
        <v>55</v>
      </c>
      <c r="AF16" s="68" t="s">
        <v>24</v>
      </c>
      <c r="AG16" s="37"/>
      <c r="AH16" s="51"/>
      <c r="AJ16" s="64" t="s">
        <v>41</v>
      </c>
      <c r="AK16" s="70" t="s">
        <v>29</v>
      </c>
      <c r="AL16" s="65" t="s">
        <v>29</v>
      </c>
      <c r="AM16" s="65" t="s">
        <v>29</v>
      </c>
      <c r="AN16" s="65" t="s">
        <v>29</v>
      </c>
      <c r="AO16" s="65" t="s">
        <v>29</v>
      </c>
      <c r="AP16" s="65" t="s">
        <v>29</v>
      </c>
      <c r="AQ16" s="65" t="s">
        <v>29</v>
      </c>
      <c r="AR16" s="65" t="s">
        <v>29</v>
      </c>
      <c r="AS16" s="71" t="s">
        <v>56</v>
      </c>
      <c r="AT16" s="54"/>
      <c r="AU16" s="2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ht="31.5" customHeight="1">
      <c r="A17" s="50"/>
      <c r="B17" s="51"/>
      <c r="C17" s="52"/>
      <c r="D17" s="72"/>
      <c r="E17" s="50"/>
      <c r="F17" s="50"/>
      <c r="G17" s="50"/>
      <c r="H17" s="50"/>
      <c r="I17" s="50"/>
      <c r="J17" s="50"/>
      <c r="K17" s="50"/>
      <c r="L17" s="50"/>
      <c r="M17" s="54"/>
      <c r="N17" s="50"/>
      <c r="O17" s="73"/>
      <c r="P17" s="74"/>
      <c r="Q17" s="75"/>
      <c r="R17" s="75"/>
      <c r="S17" s="75"/>
      <c r="T17" s="75"/>
      <c r="U17" s="75"/>
      <c r="V17" s="75"/>
      <c r="W17" s="76"/>
      <c r="Y17" s="77"/>
      <c r="Z17" s="5"/>
      <c r="AA17" s="5"/>
      <c r="AB17" s="5"/>
      <c r="AC17" s="5"/>
      <c r="AD17" s="78"/>
      <c r="AE17" s="78"/>
      <c r="AF17" s="5"/>
      <c r="AG17" s="79"/>
      <c r="AH17" s="51"/>
      <c r="AI17" s="52"/>
      <c r="AJ17" s="50"/>
      <c r="AK17" s="50"/>
      <c r="AL17" s="50"/>
      <c r="AM17" s="50"/>
      <c r="AN17" s="50"/>
      <c r="AO17" s="50"/>
      <c r="AP17" s="50"/>
      <c r="AQ17" s="50"/>
      <c r="AR17" s="50"/>
      <c r="AS17" s="53"/>
      <c r="AT17" s="54"/>
      <c r="AU17" s="2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>
      <c r="A18" s="50"/>
      <c r="B18" s="51"/>
      <c r="C18" s="57" t="s">
        <v>43</v>
      </c>
      <c r="D18" s="80" t="s">
        <v>57</v>
      </c>
      <c r="E18" s="60" t="s">
        <v>58</v>
      </c>
      <c r="F18" s="60" t="s">
        <v>59</v>
      </c>
      <c r="G18" s="60" t="s">
        <v>60</v>
      </c>
      <c r="H18" s="60" t="s">
        <v>61</v>
      </c>
      <c r="I18" s="60" t="s">
        <v>62</v>
      </c>
      <c r="J18" s="41" t="s">
        <v>63</v>
      </c>
      <c r="K18" s="41" t="s">
        <v>64</v>
      </c>
      <c r="L18" s="41" t="s">
        <v>65</v>
      </c>
      <c r="M18" s="41" t="s">
        <v>66</v>
      </c>
      <c r="N18" s="50"/>
      <c r="O18" s="50"/>
      <c r="Q18" s="50"/>
      <c r="R18" s="50"/>
      <c r="S18" s="50"/>
      <c r="T18" s="50"/>
      <c r="U18" s="50"/>
      <c r="V18" s="50"/>
      <c r="W18" s="81"/>
      <c r="Y18" s="55"/>
      <c r="Z18" s="61" t="s">
        <v>40</v>
      </c>
      <c r="AA18" s="46" t="s">
        <v>24</v>
      </c>
      <c r="AB18" s="46" t="s">
        <v>24</v>
      </c>
      <c r="AC18" s="46" t="s">
        <v>24</v>
      </c>
      <c r="AD18" s="46" t="s">
        <v>24</v>
      </c>
      <c r="AE18" s="46" t="s">
        <v>24</v>
      </c>
      <c r="AF18" s="46" t="s">
        <v>24</v>
      </c>
      <c r="AG18" s="37"/>
      <c r="AH18" s="51"/>
      <c r="AI18" s="57" t="s">
        <v>67</v>
      </c>
      <c r="AJ18" s="60" t="s">
        <v>68</v>
      </c>
      <c r="AK18" s="60" t="s">
        <v>68</v>
      </c>
      <c r="AL18" s="60" t="s">
        <v>68</v>
      </c>
      <c r="AM18" s="60" t="s">
        <v>68</v>
      </c>
      <c r="AN18" s="60" t="s">
        <v>68</v>
      </c>
      <c r="AO18" s="82" t="s">
        <v>68</v>
      </c>
      <c r="AP18" s="60" t="s">
        <v>69</v>
      </c>
      <c r="AQ18" s="60" t="s">
        <v>70</v>
      </c>
      <c r="AR18" s="60" t="s">
        <v>70</v>
      </c>
      <c r="AS18" s="58" t="s">
        <v>71</v>
      </c>
      <c r="AT18" s="54"/>
      <c r="AU18" s="2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>
      <c r="A19" s="50"/>
      <c r="B19" s="51"/>
      <c r="D19" s="39" t="s">
        <v>72</v>
      </c>
      <c r="E19" s="65" t="s">
        <v>73</v>
      </c>
      <c r="F19" s="65" t="s">
        <v>74</v>
      </c>
      <c r="G19" s="65" t="s">
        <v>75</v>
      </c>
      <c r="H19" s="65" t="s">
        <v>76</v>
      </c>
      <c r="I19" s="65" t="s">
        <v>77</v>
      </c>
      <c r="J19" s="65" t="s">
        <v>78</v>
      </c>
      <c r="K19" s="41" t="s">
        <v>19</v>
      </c>
      <c r="L19" s="41" t="s">
        <v>19</v>
      </c>
      <c r="M19" s="41" t="s">
        <v>19</v>
      </c>
      <c r="N19" s="50"/>
      <c r="O19" s="50"/>
      <c r="P19" s="50"/>
      <c r="Q19" s="50"/>
      <c r="R19" s="50"/>
      <c r="S19" s="50"/>
      <c r="T19" s="50"/>
      <c r="U19" s="50"/>
      <c r="V19" s="50"/>
      <c r="W19" s="81"/>
      <c r="Y19" s="55"/>
      <c r="AA19" s="46" t="s">
        <v>24</v>
      </c>
      <c r="AB19" s="46" t="s">
        <v>24</v>
      </c>
      <c r="AC19" s="46" t="s">
        <v>24</v>
      </c>
      <c r="AD19" s="46" t="s">
        <v>24</v>
      </c>
      <c r="AE19" s="46" t="s">
        <v>24</v>
      </c>
      <c r="AF19" s="46" t="s">
        <v>24</v>
      </c>
      <c r="AG19" s="37"/>
      <c r="AH19" s="51"/>
      <c r="AJ19" s="65" t="s">
        <v>68</v>
      </c>
      <c r="AK19" s="82" t="s">
        <v>68</v>
      </c>
      <c r="AL19" s="65" t="s">
        <v>68</v>
      </c>
      <c r="AM19" s="65" t="s">
        <v>68</v>
      </c>
      <c r="AN19" s="60" t="s">
        <v>68</v>
      </c>
      <c r="AO19" s="82" t="s">
        <v>68</v>
      </c>
      <c r="AP19" s="83" t="s">
        <v>79</v>
      </c>
      <c r="AQ19" s="83" t="s">
        <v>79</v>
      </c>
      <c r="AR19" s="60" t="s">
        <v>70</v>
      </c>
      <c r="AS19" s="71" t="s">
        <v>80</v>
      </c>
      <c r="AT19" s="54"/>
      <c r="AU19" s="2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ht="31.5" customHeight="1">
      <c r="A20" s="50"/>
      <c r="B20" s="51"/>
      <c r="C20" s="52"/>
      <c r="D20" s="72"/>
      <c r="E20" s="50"/>
      <c r="F20" s="50"/>
      <c r="G20" s="50"/>
      <c r="H20" s="50"/>
      <c r="I20" s="50"/>
      <c r="J20" s="50"/>
      <c r="K20" s="50"/>
      <c r="L20" s="53"/>
      <c r="M20" s="54"/>
      <c r="N20" s="50"/>
      <c r="O20" s="50"/>
      <c r="P20" s="50"/>
      <c r="Q20" s="50"/>
      <c r="R20" s="50"/>
      <c r="S20" s="50"/>
      <c r="T20" s="50"/>
      <c r="U20" s="50"/>
      <c r="V20" s="50"/>
      <c r="W20" s="81"/>
      <c r="X20" s="84"/>
      <c r="Y20" s="73"/>
      <c r="Z20" s="85"/>
      <c r="AA20" s="86"/>
      <c r="AB20" s="75"/>
      <c r="AC20" s="75"/>
      <c r="AD20" s="75"/>
      <c r="AE20" s="75"/>
      <c r="AF20" s="87"/>
      <c r="AG20" s="88"/>
      <c r="AH20" s="51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3"/>
      <c r="AT20" s="54"/>
      <c r="AU20" s="2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>
      <c r="A21" s="50"/>
      <c r="B21" s="51"/>
      <c r="C21" s="57" t="s">
        <v>67</v>
      </c>
      <c r="D21" s="80" t="s">
        <v>81</v>
      </c>
      <c r="E21" s="60" t="s">
        <v>82</v>
      </c>
      <c r="F21" s="59" t="s">
        <v>83</v>
      </c>
      <c r="G21" s="60" t="s">
        <v>84</v>
      </c>
      <c r="H21" s="60" t="s">
        <v>85</v>
      </c>
      <c r="I21" s="60" t="s">
        <v>82</v>
      </c>
      <c r="J21" s="60" t="s">
        <v>86</v>
      </c>
      <c r="K21" s="60" t="s">
        <v>87</v>
      </c>
      <c r="L21" s="40" t="s">
        <v>82</v>
      </c>
      <c r="M21" s="62" t="s">
        <v>82</v>
      </c>
      <c r="N21" s="50"/>
      <c r="O21" s="50"/>
      <c r="P21" s="50"/>
      <c r="Q21" s="50"/>
      <c r="R21" s="10"/>
      <c r="S21" s="10"/>
      <c r="T21" s="1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5"/>
      <c r="AI21" s="57" t="s">
        <v>88</v>
      </c>
      <c r="AJ21" s="5"/>
      <c r="AK21" s="5"/>
      <c r="AL21" s="5"/>
      <c r="AM21" s="89" t="s">
        <v>89</v>
      </c>
      <c r="AN21" s="90" t="s">
        <v>90</v>
      </c>
      <c r="AO21" s="60" t="s">
        <v>91</v>
      </c>
      <c r="AP21" s="59" t="s">
        <v>92</v>
      </c>
      <c r="AQ21" s="60" t="s">
        <v>93</v>
      </c>
      <c r="AR21" s="91" t="s">
        <v>94</v>
      </c>
      <c r="AS21" s="5"/>
      <c r="AT21" s="79"/>
      <c r="AU21" s="2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>
      <c r="A22" s="50"/>
      <c r="B22" s="51"/>
      <c r="D22" s="39" t="s">
        <v>95</v>
      </c>
      <c r="E22" s="65" t="s">
        <v>96</v>
      </c>
      <c r="F22" s="65" t="s">
        <v>97</v>
      </c>
      <c r="G22" s="65" t="s">
        <v>98</v>
      </c>
      <c r="H22" s="65" t="s">
        <v>99</v>
      </c>
      <c r="I22" s="65" t="s">
        <v>100</v>
      </c>
      <c r="J22" s="66" t="s">
        <v>101</v>
      </c>
      <c r="K22" s="65" t="s">
        <v>102</v>
      </c>
      <c r="L22" s="65" t="s">
        <v>103</v>
      </c>
      <c r="M22" s="41" t="s">
        <v>104</v>
      </c>
      <c r="N22" s="50"/>
      <c r="O22" s="92"/>
      <c r="P22" s="15"/>
      <c r="Q22" s="16"/>
      <c r="R22" s="16"/>
      <c r="S22" s="16"/>
      <c r="T22" s="16"/>
      <c r="U22" s="93"/>
      <c r="V22" s="93"/>
      <c r="W22" s="93"/>
      <c r="X22" s="93"/>
      <c r="Y22" s="21" t="s">
        <v>105</v>
      </c>
      <c r="Z22" s="16">
        <v>9.0</v>
      </c>
      <c r="AA22" s="93"/>
      <c r="AB22" s="93"/>
      <c r="AC22" s="93"/>
      <c r="AD22" s="93"/>
      <c r="AE22" s="93"/>
      <c r="AF22" s="94"/>
      <c r="AG22" s="50"/>
      <c r="AH22" s="55"/>
      <c r="AJ22" s="5"/>
      <c r="AK22" s="5"/>
      <c r="AL22" s="5"/>
      <c r="AM22" s="89" t="s">
        <v>106</v>
      </c>
      <c r="AN22" s="95" t="s">
        <v>107</v>
      </c>
      <c r="AO22" s="89" t="s">
        <v>6</v>
      </c>
      <c r="AP22" s="66" t="s">
        <v>108</v>
      </c>
      <c r="AQ22" s="66" t="s">
        <v>109</v>
      </c>
      <c r="AR22" s="96" t="s">
        <v>110</v>
      </c>
      <c r="AS22" s="97" t="s">
        <v>111</v>
      </c>
      <c r="AT22" s="79"/>
      <c r="AU22" s="2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ht="31.5" customHeight="1">
      <c r="A23" s="50"/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100"/>
      <c r="M23" s="101"/>
      <c r="N23" s="50"/>
      <c r="O23" s="55"/>
      <c r="P23" s="102" t="s">
        <v>112</v>
      </c>
      <c r="Q23" s="103"/>
      <c r="R23" s="50"/>
      <c r="S23" s="5"/>
      <c r="T23" s="5"/>
      <c r="U23" s="29" t="s">
        <v>14</v>
      </c>
      <c r="V23" s="30">
        <f>X23+Z23</f>
        <v>90</v>
      </c>
      <c r="W23" s="31" t="s">
        <v>15</v>
      </c>
      <c r="X23" s="32">
        <f>COUNTA(R25:AF33)-Z23</f>
        <v>90</v>
      </c>
      <c r="Y23" s="36" t="s">
        <v>16</v>
      </c>
      <c r="Z23" s="33">
        <f>COUNTIFS(R25:AF33,"*VIDE*")</f>
        <v>0</v>
      </c>
      <c r="AA23" s="5"/>
      <c r="AB23" s="50"/>
      <c r="AC23" s="50"/>
      <c r="AD23" s="56"/>
      <c r="AE23" s="56"/>
      <c r="AF23" s="104"/>
      <c r="AG23" s="50"/>
      <c r="AH23" s="73"/>
      <c r="AI23" s="75"/>
      <c r="AJ23" s="75"/>
      <c r="AK23" s="75"/>
      <c r="AL23" s="75"/>
      <c r="AM23" s="75"/>
      <c r="AN23" s="75"/>
      <c r="AO23" s="75"/>
      <c r="AP23" s="75"/>
      <c r="AQ23" s="105"/>
      <c r="AR23" s="105"/>
      <c r="AS23" s="105"/>
      <c r="AT23" s="76"/>
      <c r="AU23" s="2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ht="31.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3"/>
      <c r="M24" s="50"/>
      <c r="N24" s="50"/>
      <c r="O24" s="55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104"/>
      <c r="AG24" s="50"/>
      <c r="AH24" s="50"/>
      <c r="AI24" s="50"/>
      <c r="AJ24" s="50"/>
      <c r="AK24" s="10"/>
      <c r="AL24" s="10"/>
      <c r="AM24" s="10"/>
      <c r="AN24" s="50"/>
      <c r="AO24" s="50"/>
      <c r="AP24" s="50"/>
      <c r="AQ24" s="50"/>
      <c r="AR24" s="53"/>
      <c r="AS24" s="50"/>
      <c r="AT24" s="5"/>
      <c r="AU24" s="2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ht="31.5" customHeight="1">
      <c r="A25" s="50"/>
      <c r="B25" s="50"/>
      <c r="C25" s="106" t="s">
        <v>113</v>
      </c>
      <c r="D25" s="107" t="s">
        <v>114</v>
      </c>
      <c r="E25" s="108" t="s">
        <v>115</v>
      </c>
      <c r="F25" s="108" t="s">
        <v>115</v>
      </c>
      <c r="G25" s="108" t="s">
        <v>115</v>
      </c>
      <c r="H25" s="50"/>
      <c r="I25" s="50"/>
      <c r="J25" s="109" t="s">
        <v>116</v>
      </c>
      <c r="K25" s="50"/>
      <c r="L25" s="53"/>
      <c r="M25" s="50"/>
      <c r="N25" s="50"/>
      <c r="O25" s="55"/>
      <c r="P25" s="39" t="s">
        <v>117</v>
      </c>
      <c r="Q25" s="50"/>
      <c r="R25" s="110" t="s">
        <v>118</v>
      </c>
      <c r="S25" s="111" t="s">
        <v>119</v>
      </c>
      <c r="T25" s="50"/>
      <c r="U25" s="110" t="s">
        <v>120</v>
      </c>
      <c r="V25" s="111" t="s">
        <v>121</v>
      </c>
      <c r="W25" s="50"/>
      <c r="X25" s="110" t="s">
        <v>122</v>
      </c>
      <c r="Y25" s="112" t="s">
        <v>123</v>
      </c>
      <c r="Z25" s="50"/>
      <c r="AA25" s="112" t="s">
        <v>124</v>
      </c>
      <c r="AB25" s="110" t="s">
        <v>125</v>
      </c>
      <c r="AD25" s="113" t="s">
        <v>126</v>
      </c>
      <c r="AE25" s="39" t="s">
        <v>127</v>
      </c>
      <c r="AG25" s="50"/>
      <c r="AH25" s="114"/>
      <c r="AI25" s="15"/>
      <c r="AJ25" s="16"/>
      <c r="AK25" s="16"/>
      <c r="AL25" s="16"/>
      <c r="AM25" s="16"/>
      <c r="AN25" s="115"/>
      <c r="AO25" s="115"/>
      <c r="AP25" s="115"/>
      <c r="AQ25" s="115"/>
      <c r="AR25" s="115"/>
      <c r="AS25" s="116"/>
      <c r="AT25" s="5"/>
      <c r="AU25" s="2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ht="31.5" customHeight="1">
      <c r="A26" s="50"/>
      <c r="B26" s="50"/>
      <c r="C26" s="50"/>
      <c r="D26" s="107" t="s">
        <v>128</v>
      </c>
      <c r="E26" s="107" t="s">
        <v>129</v>
      </c>
      <c r="F26" s="108" t="s">
        <v>130</v>
      </c>
      <c r="G26" s="107" t="s">
        <v>131</v>
      </c>
      <c r="H26" s="50"/>
      <c r="I26" s="50"/>
      <c r="J26" s="117" t="s">
        <v>132</v>
      </c>
      <c r="K26" s="50"/>
      <c r="L26" s="53"/>
      <c r="M26" s="50"/>
      <c r="N26" s="50"/>
      <c r="O26" s="55"/>
      <c r="P26" s="5"/>
      <c r="Q26" s="50"/>
      <c r="R26" s="118" t="s">
        <v>82</v>
      </c>
      <c r="S26" s="119" t="s">
        <v>133</v>
      </c>
      <c r="T26" s="50"/>
      <c r="U26" s="118" t="s">
        <v>134</v>
      </c>
      <c r="V26" s="119" t="s">
        <v>134</v>
      </c>
      <c r="W26" s="50"/>
      <c r="X26" s="118" t="s">
        <v>133</v>
      </c>
      <c r="Y26" s="119" t="s">
        <v>135</v>
      </c>
      <c r="Z26" s="50"/>
      <c r="AA26" s="119" t="s">
        <v>136</v>
      </c>
      <c r="AB26" s="119" t="s">
        <v>24</v>
      </c>
      <c r="AC26" s="50"/>
      <c r="AD26" s="60" t="s">
        <v>39</v>
      </c>
      <c r="AE26" s="80" t="s">
        <v>137</v>
      </c>
      <c r="AG26" s="50"/>
      <c r="AH26" s="51"/>
      <c r="AI26" s="102" t="s">
        <v>138</v>
      </c>
      <c r="AJ26" s="103"/>
      <c r="AK26" s="50"/>
      <c r="AL26" s="120" t="s">
        <v>14</v>
      </c>
      <c r="AM26" s="121">
        <f>AO26+AQ26</f>
        <v>72</v>
      </c>
      <c r="AN26" s="122" t="s">
        <v>15</v>
      </c>
      <c r="AO26" s="123">
        <f>COUNTA(AJ28:AR38)-AQ26</f>
        <v>72</v>
      </c>
      <c r="AP26" s="124" t="s">
        <v>16</v>
      </c>
      <c r="AQ26" s="125">
        <f>COUNTIFS(AJ28:AR38,"*VIDE*")</f>
        <v>0</v>
      </c>
      <c r="AR26" s="50"/>
      <c r="AS26" s="54"/>
      <c r="AT26" s="5"/>
      <c r="AU26" s="2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ht="31.5" customHeight="1">
      <c r="A27" s="50"/>
      <c r="B27" s="50"/>
      <c r="C27" s="50"/>
      <c r="D27" s="50"/>
      <c r="E27" s="10"/>
      <c r="F27" s="10"/>
      <c r="G27" s="10"/>
      <c r="H27" s="50"/>
      <c r="I27" s="50"/>
      <c r="J27" s="50"/>
      <c r="K27" s="50"/>
      <c r="L27" s="53"/>
      <c r="M27" s="50"/>
      <c r="N27" s="50"/>
      <c r="O27" s="55"/>
      <c r="P27" s="126" t="s">
        <v>139</v>
      </c>
      <c r="Q27" s="50"/>
      <c r="R27" s="118" t="s">
        <v>133</v>
      </c>
      <c r="S27" s="119" t="s">
        <v>133</v>
      </c>
      <c r="T27" s="50"/>
      <c r="U27" s="118" t="s">
        <v>134</v>
      </c>
      <c r="V27" s="119" t="s">
        <v>134</v>
      </c>
      <c r="W27" s="50"/>
      <c r="X27" s="127" t="s">
        <v>135</v>
      </c>
      <c r="Y27" s="118" t="s">
        <v>135</v>
      </c>
      <c r="Z27" s="50"/>
      <c r="AA27" s="119" t="s">
        <v>136</v>
      </c>
      <c r="AB27" s="119" t="s">
        <v>24</v>
      </c>
      <c r="AC27" s="50"/>
      <c r="AD27" s="60" t="s">
        <v>39</v>
      </c>
      <c r="AE27" s="65" t="s">
        <v>39</v>
      </c>
      <c r="AF27" s="104"/>
      <c r="AG27" s="50"/>
      <c r="AH27" s="51"/>
      <c r="AI27" s="50"/>
      <c r="AJ27" s="72"/>
      <c r="AK27" s="50"/>
      <c r="AL27" s="50"/>
      <c r="AM27" s="50"/>
      <c r="AN27" s="50"/>
      <c r="AO27" s="50"/>
      <c r="AP27" s="50"/>
      <c r="AQ27" s="50"/>
      <c r="AR27" s="50"/>
      <c r="AS27" s="54"/>
      <c r="AT27" s="5"/>
      <c r="AU27" s="2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ht="31.5" customHeight="1">
      <c r="A28" s="50"/>
      <c r="B28" s="114"/>
      <c r="C28" s="15"/>
      <c r="D28" s="16"/>
      <c r="E28" s="16"/>
      <c r="F28" s="16"/>
      <c r="G28" s="16"/>
      <c r="H28" s="115"/>
      <c r="I28" s="115"/>
      <c r="J28" s="128"/>
      <c r="K28" s="115"/>
      <c r="L28" s="129"/>
      <c r="M28" s="116"/>
      <c r="N28" s="50"/>
      <c r="O28" s="55"/>
      <c r="P28" s="130" t="s">
        <v>139</v>
      </c>
      <c r="Q28" s="50"/>
      <c r="R28" s="118" t="s">
        <v>133</v>
      </c>
      <c r="S28" s="119" t="s">
        <v>133</v>
      </c>
      <c r="T28" s="50"/>
      <c r="U28" s="118" t="s">
        <v>134</v>
      </c>
      <c r="V28" s="119" t="s">
        <v>134</v>
      </c>
      <c r="W28" s="50"/>
      <c r="X28" s="118" t="s">
        <v>134</v>
      </c>
      <c r="Y28" s="119" t="s">
        <v>135</v>
      </c>
      <c r="Z28" s="50"/>
      <c r="AA28" s="119" t="s">
        <v>136</v>
      </c>
      <c r="AB28" s="119" t="s">
        <v>24</v>
      </c>
      <c r="AC28" s="50"/>
      <c r="AD28" s="60" t="s">
        <v>39</v>
      </c>
      <c r="AE28" s="65" t="s">
        <v>39</v>
      </c>
      <c r="AF28" s="104"/>
      <c r="AG28" s="50"/>
      <c r="AH28" s="51"/>
      <c r="AI28" s="57" t="s">
        <v>18</v>
      </c>
      <c r="AJ28" s="131" t="s">
        <v>39</v>
      </c>
      <c r="AK28" s="131" t="s">
        <v>39</v>
      </c>
      <c r="AL28" s="131" t="s">
        <v>39</v>
      </c>
      <c r="AM28" s="131" t="s">
        <v>39</v>
      </c>
      <c r="AN28" s="131" t="s">
        <v>39</v>
      </c>
      <c r="AO28" s="131" t="s">
        <v>39</v>
      </c>
      <c r="AP28" s="132" t="s">
        <v>39</v>
      </c>
      <c r="AQ28" s="132" t="s">
        <v>39</v>
      </c>
      <c r="AR28" s="39" t="s">
        <v>140</v>
      </c>
      <c r="AS28" s="54"/>
      <c r="AT28" s="5"/>
      <c r="AU28" s="2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ht="31.5" customHeight="1">
      <c r="A29" s="50"/>
      <c r="B29" s="51"/>
      <c r="C29" s="102" t="s">
        <v>141</v>
      </c>
      <c r="D29" s="103"/>
      <c r="E29" s="50"/>
      <c r="F29" s="120" t="s">
        <v>14</v>
      </c>
      <c r="G29" s="121">
        <f>I29+J29</f>
        <v>48</v>
      </c>
      <c r="H29" s="122" t="s">
        <v>15</v>
      </c>
      <c r="I29" s="123">
        <f>COUNTA(D31:K38)-J29</f>
        <v>48</v>
      </c>
      <c r="J29" s="125">
        <f>COUNTIFS(D31:K38,"*VIDE*")</f>
        <v>0</v>
      </c>
      <c r="K29" s="50"/>
      <c r="L29" s="133"/>
      <c r="M29" s="54"/>
      <c r="N29" s="50"/>
      <c r="O29" s="55"/>
      <c r="P29" s="130" t="s">
        <v>139</v>
      </c>
      <c r="Q29" s="50"/>
      <c r="R29" s="118" t="s">
        <v>133</v>
      </c>
      <c r="S29" s="119" t="s">
        <v>133</v>
      </c>
      <c r="T29" s="50"/>
      <c r="U29" s="118" t="s">
        <v>134</v>
      </c>
      <c r="V29" s="119" t="s">
        <v>134</v>
      </c>
      <c r="W29" s="50"/>
      <c r="X29" s="118" t="s">
        <v>134</v>
      </c>
      <c r="Y29" s="119" t="s">
        <v>142</v>
      </c>
      <c r="Z29" s="50"/>
      <c r="AA29" s="119" t="s">
        <v>136</v>
      </c>
      <c r="AB29" s="119" t="s">
        <v>24</v>
      </c>
      <c r="AC29" s="50"/>
      <c r="AD29" s="60" t="s">
        <v>39</v>
      </c>
      <c r="AE29" s="65" t="s">
        <v>39</v>
      </c>
      <c r="AF29" s="104"/>
      <c r="AG29" s="50"/>
      <c r="AH29" s="51"/>
      <c r="AJ29" s="134" t="s">
        <v>39</v>
      </c>
      <c r="AK29" s="134" t="s">
        <v>39</v>
      </c>
      <c r="AL29" s="134" t="s">
        <v>39</v>
      </c>
      <c r="AM29" s="134" t="s">
        <v>39</v>
      </c>
      <c r="AN29" s="134" t="s">
        <v>39</v>
      </c>
      <c r="AO29" s="134" t="s">
        <v>39</v>
      </c>
      <c r="AP29" s="135" t="s">
        <v>39</v>
      </c>
      <c r="AQ29" s="134" t="s">
        <v>39</v>
      </c>
      <c r="AR29" s="39" t="s">
        <v>143</v>
      </c>
      <c r="AS29" s="54"/>
      <c r="AT29" s="5"/>
      <c r="AU29" s="2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ht="31.5" customHeight="1">
      <c r="A30" s="50"/>
      <c r="B30" s="51"/>
      <c r="C30" s="50"/>
      <c r="D30" s="72"/>
      <c r="E30" s="50"/>
      <c r="F30" s="50"/>
      <c r="G30" s="50"/>
      <c r="H30" s="50"/>
      <c r="I30" s="50"/>
      <c r="J30" s="50"/>
      <c r="K30" s="50"/>
      <c r="L30" s="53"/>
      <c r="M30" s="54"/>
      <c r="N30" s="50"/>
      <c r="O30" s="55"/>
      <c r="P30" s="136" t="s">
        <v>139</v>
      </c>
      <c r="Q30" s="50"/>
      <c r="R30" s="118" t="s">
        <v>144</v>
      </c>
      <c r="S30" s="119" t="s">
        <v>144</v>
      </c>
      <c r="T30" s="50"/>
      <c r="U30" s="118" t="s">
        <v>134</v>
      </c>
      <c r="V30" s="119" t="s">
        <v>134</v>
      </c>
      <c r="W30" s="50"/>
      <c r="X30" s="118" t="s">
        <v>134</v>
      </c>
      <c r="Y30" s="119" t="s">
        <v>142</v>
      </c>
      <c r="Z30" s="50"/>
      <c r="AA30" s="119" t="s">
        <v>136</v>
      </c>
      <c r="AB30" s="46" t="s">
        <v>136</v>
      </c>
      <c r="AC30" s="50"/>
      <c r="AD30" s="60" t="s">
        <v>39</v>
      </c>
      <c r="AE30" s="65" t="s">
        <v>39</v>
      </c>
      <c r="AF30" s="104"/>
      <c r="AG30" s="50"/>
      <c r="AH30" s="51"/>
      <c r="AI30" s="52"/>
      <c r="AJ30" s="50"/>
      <c r="AK30" s="72"/>
      <c r="AL30" s="72"/>
      <c r="AM30" s="72"/>
      <c r="AN30" s="72"/>
      <c r="AO30" s="72"/>
      <c r="AP30" s="72"/>
      <c r="AQ30" s="72"/>
      <c r="AR30" s="54"/>
      <c r="AS30" s="54"/>
      <c r="AT30" s="5"/>
      <c r="AU30" s="2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ht="31.5" customHeight="1">
      <c r="A31" s="50"/>
      <c r="B31" s="51"/>
      <c r="C31" s="57" t="s">
        <v>27</v>
      </c>
      <c r="D31" s="80" t="s">
        <v>145</v>
      </c>
      <c r="E31" s="60" t="s">
        <v>139</v>
      </c>
      <c r="F31" s="60" t="s">
        <v>139</v>
      </c>
      <c r="G31" s="60" t="s">
        <v>139</v>
      </c>
      <c r="H31" s="60" t="s">
        <v>139</v>
      </c>
      <c r="I31" s="60" t="s">
        <v>139</v>
      </c>
      <c r="J31" s="60" t="s">
        <v>139</v>
      </c>
      <c r="K31" s="40" t="s">
        <v>139</v>
      </c>
      <c r="L31" s="60" t="s">
        <v>139</v>
      </c>
      <c r="M31" s="137"/>
      <c r="N31" s="50"/>
      <c r="O31" s="55"/>
      <c r="P31" s="57"/>
      <c r="Q31" s="50"/>
      <c r="R31" s="118" t="s">
        <v>144</v>
      </c>
      <c r="S31" s="119" t="s">
        <v>144</v>
      </c>
      <c r="T31" s="50"/>
      <c r="U31" s="118" t="s">
        <v>134</v>
      </c>
      <c r="V31" s="119" t="s">
        <v>134</v>
      </c>
      <c r="W31" s="50"/>
      <c r="X31" s="118" t="s">
        <v>134</v>
      </c>
      <c r="Y31" s="119" t="s">
        <v>135</v>
      </c>
      <c r="Z31" s="50"/>
      <c r="AA31" s="119" t="s">
        <v>136</v>
      </c>
      <c r="AB31" s="46" t="s">
        <v>136</v>
      </c>
      <c r="AC31" s="50"/>
      <c r="AD31" s="60" t="s">
        <v>39</v>
      </c>
      <c r="AE31" s="65" t="s">
        <v>39</v>
      </c>
      <c r="AF31" s="104"/>
      <c r="AG31" s="50"/>
      <c r="AH31" s="51"/>
      <c r="AI31" s="57" t="s">
        <v>27</v>
      </c>
      <c r="AJ31" s="60" t="s">
        <v>146</v>
      </c>
      <c r="AK31" s="60" t="s">
        <v>146</v>
      </c>
      <c r="AL31" s="60" t="s">
        <v>146</v>
      </c>
      <c r="AM31" s="60" t="s">
        <v>146</v>
      </c>
      <c r="AN31" s="59" t="s">
        <v>146</v>
      </c>
      <c r="AO31" s="60" t="s">
        <v>146</v>
      </c>
      <c r="AP31" s="60" t="s">
        <v>146</v>
      </c>
      <c r="AQ31" s="60" t="s">
        <v>146</v>
      </c>
      <c r="AR31" s="138" t="s">
        <v>147</v>
      </c>
      <c r="AS31" s="54"/>
      <c r="AT31" s="5"/>
      <c r="AU31" s="2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ht="31.5" customHeight="1">
      <c r="A32" s="50"/>
      <c r="B32" s="51"/>
      <c r="D32" s="39" t="s">
        <v>148</v>
      </c>
      <c r="E32" s="65" t="s">
        <v>139</v>
      </c>
      <c r="F32" s="65" t="s">
        <v>139</v>
      </c>
      <c r="G32" s="65" t="s">
        <v>139</v>
      </c>
      <c r="H32" s="65" t="s">
        <v>139</v>
      </c>
      <c r="I32" s="65" t="s">
        <v>139</v>
      </c>
      <c r="J32" s="65" t="s">
        <v>139</v>
      </c>
      <c r="K32" s="41" t="s">
        <v>139</v>
      </c>
      <c r="L32" s="60" t="s">
        <v>139</v>
      </c>
      <c r="M32" s="54"/>
      <c r="N32" s="50"/>
      <c r="O32" s="55"/>
      <c r="P32" s="57"/>
      <c r="Q32" s="50"/>
      <c r="R32" s="118" t="s">
        <v>144</v>
      </c>
      <c r="S32" s="119" t="s">
        <v>144</v>
      </c>
      <c r="T32" s="50"/>
      <c r="U32" s="127" t="s">
        <v>134</v>
      </c>
      <c r="V32" s="119" t="s">
        <v>134</v>
      </c>
      <c r="W32" s="50"/>
      <c r="X32" s="118" t="s">
        <v>134</v>
      </c>
      <c r="Y32" s="119" t="s">
        <v>136</v>
      </c>
      <c r="Z32" s="50"/>
      <c r="AA32" s="119" t="s">
        <v>136</v>
      </c>
      <c r="AB32" s="46" t="s">
        <v>136</v>
      </c>
      <c r="AC32" s="50"/>
      <c r="AD32" s="40" t="s">
        <v>39</v>
      </c>
      <c r="AE32" s="41" t="s">
        <v>39</v>
      </c>
      <c r="AF32" s="104"/>
      <c r="AG32" s="50"/>
      <c r="AH32" s="51"/>
      <c r="AJ32" s="60" t="s">
        <v>146</v>
      </c>
      <c r="AK32" s="139" t="s">
        <v>146</v>
      </c>
      <c r="AL32" s="60" t="s">
        <v>146</v>
      </c>
      <c r="AM32" s="60" t="s">
        <v>146</v>
      </c>
      <c r="AN32" s="59" t="s">
        <v>146</v>
      </c>
      <c r="AO32" s="59" t="s">
        <v>146</v>
      </c>
      <c r="AP32" s="59" t="s">
        <v>146</v>
      </c>
      <c r="AQ32" s="59" t="s">
        <v>146</v>
      </c>
      <c r="AR32" s="39" t="s">
        <v>149</v>
      </c>
      <c r="AS32" s="54"/>
      <c r="AT32" s="5"/>
      <c r="AU32" s="2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ht="31.5" customHeight="1">
      <c r="A33" s="50"/>
      <c r="B33" s="51"/>
      <c r="C33" s="52"/>
      <c r="D33" s="72"/>
      <c r="E33" s="72"/>
      <c r="F33" s="50"/>
      <c r="G33" s="50"/>
      <c r="H33" s="50"/>
      <c r="I33" s="50"/>
      <c r="J33" s="50"/>
      <c r="K33" s="50"/>
      <c r="L33" s="140" t="s">
        <v>150</v>
      </c>
      <c r="M33" s="54"/>
      <c r="N33" s="50"/>
      <c r="O33" s="55"/>
      <c r="P33" s="57"/>
      <c r="Q33" s="50"/>
      <c r="R33" s="110" t="s">
        <v>151</v>
      </c>
      <c r="S33" s="141" t="s">
        <v>152</v>
      </c>
      <c r="T33" s="50"/>
      <c r="U33" s="141" t="s">
        <v>153</v>
      </c>
      <c r="V33" s="142" t="s">
        <v>154</v>
      </c>
      <c r="W33" s="50"/>
      <c r="X33" s="142" t="s">
        <v>155</v>
      </c>
      <c r="Y33" s="119" t="s">
        <v>136</v>
      </c>
      <c r="Z33" s="50"/>
      <c r="AA33" s="46" t="s">
        <v>156</v>
      </c>
      <c r="AB33" s="111" t="s">
        <v>157</v>
      </c>
      <c r="AC33" s="50"/>
      <c r="AD33" s="60" t="s">
        <v>39</v>
      </c>
      <c r="AE33" s="41" t="s">
        <v>39</v>
      </c>
      <c r="AF33" s="104"/>
      <c r="AG33" s="50"/>
      <c r="AH33" s="51"/>
      <c r="AI33" s="52"/>
      <c r="AJ33" s="50"/>
      <c r="AK33" s="50"/>
      <c r="AL33" s="50"/>
      <c r="AM33" s="50"/>
      <c r="AN33" s="50"/>
      <c r="AO33" s="50"/>
      <c r="AP33" s="50"/>
      <c r="AQ33" s="50"/>
      <c r="AR33" s="53"/>
      <c r="AS33" s="54"/>
      <c r="AT33" s="5"/>
      <c r="AU33" s="2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ht="31.5" customHeight="1">
      <c r="A34" s="50"/>
      <c r="B34" s="51"/>
      <c r="C34" s="57" t="s">
        <v>43</v>
      </c>
      <c r="D34" s="80" t="s">
        <v>158</v>
      </c>
      <c r="E34" s="60" t="s">
        <v>139</v>
      </c>
      <c r="F34" s="59" t="s">
        <v>139</v>
      </c>
      <c r="G34" s="60" t="s">
        <v>139</v>
      </c>
      <c r="H34" s="60" t="s">
        <v>139</v>
      </c>
      <c r="I34" s="60" t="s">
        <v>139</v>
      </c>
      <c r="J34" s="60" t="s">
        <v>139</v>
      </c>
      <c r="K34" s="40" t="s">
        <v>139</v>
      </c>
      <c r="L34" s="60" t="s">
        <v>139</v>
      </c>
      <c r="M34" s="54"/>
      <c r="N34" s="50"/>
      <c r="O34" s="55"/>
      <c r="P34" s="143" t="s">
        <v>67</v>
      </c>
      <c r="Q34" s="50"/>
      <c r="R34" s="143" t="s">
        <v>43</v>
      </c>
      <c r="T34" s="50"/>
      <c r="U34" s="143" t="s">
        <v>27</v>
      </c>
      <c r="W34" s="50"/>
      <c r="X34" s="143" t="s">
        <v>18</v>
      </c>
      <c r="Z34" s="50"/>
      <c r="AA34" s="143" t="s">
        <v>20</v>
      </c>
      <c r="AC34" s="50"/>
      <c r="AD34" s="143" t="s">
        <v>40</v>
      </c>
      <c r="AF34" s="104"/>
      <c r="AG34" s="50"/>
      <c r="AH34" s="51"/>
      <c r="AI34" s="57" t="s">
        <v>43</v>
      </c>
      <c r="AJ34" s="144" t="s">
        <v>159</v>
      </c>
      <c r="AK34" s="113" t="s">
        <v>146</v>
      </c>
      <c r="AL34" s="139" t="s">
        <v>146</v>
      </c>
      <c r="AM34" s="145" t="s">
        <v>146</v>
      </c>
      <c r="AN34" s="139" t="s">
        <v>160</v>
      </c>
      <c r="AO34" s="139" t="s">
        <v>146</v>
      </c>
      <c r="AP34" s="139" t="s">
        <v>146</v>
      </c>
      <c r="AQ34" s="139" t="s">
        <v>146</v>
      </c>
      <c r="AR34" s="146" t="s">
        <v>161</v>
      </c>
      <c r="AS34" s="54"/>
      <c r="AT34" s="5"/>
      <c r="AU34" s="2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ht="31.5" customHeight="1">
      <c r="A35" s="50"/>
      <c r="B35" s="51"/>
      <c r="D35" s="39" t="s">
        <v>162</v>
      </c>
      <c r="E35" s="65" t="s">
        <v>139</v>
      </c>
      <c r="F35" s="65" t="s">
        <v>139</v>
      </c>
      <c r="G35" s="65" t="s">
        <v>139</v>
      </c>
      <c r="H35" s="65" t="s">
        <v>139</v>
      </c>
      <c r="I35" s="65" t="s">
        <v>139</v>
      </c>
      <c r="J35" s="65" t="s">
        <v>139</v>
      </c>
      <c r="K35" s="41" t="s">
        <v>139</v>
      </c>
      <c r="L35" s="60" t="s">
        <v>139</v>
      </c>
      <c r="M35" s="54"/>
      <c r="N35" s="50"/>
      <c r="O35" s="73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6"/>
      <c r="AG35" s="50"/>
      <c r="AH35" s="51"/>
      <c r="AJ35" s="147" t="s">
        <v>163</v>
      </c>
      <c r="AK35" s="148" t="s">
        <v>163</v>
      </c>
      <c r="AL35" s="147" t="s">
        <v>164</v>
      </c>
      <c r="AM35" s="147" t="s">
        <v>164</v>
      </c>
      <c r="AN35" s="149" t="s">
        <v>159</v>
      </c>
      <c r="AO35" s="147" t="s">
        <v>159</v>
      </c>
      <c r="AP35" s="147" t="s">
        <v>159</v>
      </c>
      <c r="AQ35" s="149" t="s">
        <v>159</v>
      </c>
      <c r="AR35" s="146" t="s">
        <v>165</v>
      </c>
      <c r="AS35" s="54"/>
      <c r="AT35" s="5"/>
      <c r="AU35" s="2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ht="31.5" customHeight="1">
      <c r="A36" s="50"/>
      <c r="B36" s="51"/>
      <c r="C36" s="52"/>
      <c r="D36" s="72"/>
      <c r="E36" s="72"/>
      <c r="F36" s="50"/>
      <c r="G36" s="50"/>
      <c r="H36" s="50"/>
      <c r="I36" s="50"/>
      <c r="J36" s="50"/>
      <c r="K36" s="50"/>
      <c r="L36" s="133"/>
      <c r="M36" s="54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1"/>
      <c r="AI36" s="52"/>
      <c r="AJ36" s="50"/>
      <c r="AK36" s="50"/>
      <c r="AL36" s="50"/>
      <c r="AM36" s="50"/>
      <c r="AN36" s="50"/>
      <c r="AO36" s="50"/>
      <c r="AP36" s="50"/>
      <c r="AQ36" s="72"/>
      <c r="AR36" s="53"/>
      <c r="AS36" s="54"/>
      <c r="AT36" s="5"/>
      <c r="AU36" s="2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ht="31.5" customHeight="1">
      <c r="A37" s="50"/>
      <c r="B37" s="51"/>
      <c r="C37" s="57" t="s">
        <v>67</v>
      </c>
      <c r="D37" s="80" t="s">
        <v>166</v>
      </c>
      <c r="E37" s="60" t="s">
        <v>139</v>
      </c>
      <c r="F37" s="60" t="s">
        <v>139</v>
      </c>
      <c r="G37" s="60" t="s">
        <v>139</v>
      </c>
      <c r="H37" s="60" t="s">
        <v>139</v>
      </c>
      <c r="I37" s="60" t="s">
        <v>139</v>
      </c>
      <c r="J37" s="60" t="s">
        <v>139</v>
      </c>
      <c r="K37" s="40" t="s">
        <v>139</v>
      </c>
      <c r="L37" s="40" t="s">
        <v>139</v>
      </c>
      <c r="M37" s="54"/>
      <c r="N37" s="50"/>
      <c r="O37" s="50"/>
      <c r="P37" s="150"/>
      <c r="Q37" s="151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1"/>
      <c r="AF37" s="153"/>
      <c r="AG37" s="50"/>
      <c r="AH37" s="51"/>
      <c r="AI37" s="57" t="s">
        <v>67</v>
      </c>
      <c r="AJ37" s="147" t="s">
        <v>163</v>
      </c>
      <c r="AK37" s="113" t="s">
        <v>163</v>
      </c>
      <c r="AL37" s="147" t="s">
        <v>163</v>
      </c>
      <c r="AM37" s="147" t="s">
        <v>163</v>
      </c>
      <c r="AN37" s="147" t="s">
        <v>167</v>
      </c>
      <c r="AO37" s="147" t="s">
        <v>167</v>
      </c>
      <c r="AP37" s="147" t="s">
        <v>167</v>
      </c>
      <c r="AQ37" s="154" t="s">
        <v>167</v>
      </c>
      <c r="AR37" s="146" t="s">
        <v>168</v>
      </c>
      <c r="AS37" s="54"/>
      <c r="AT37" s="5"/>
      <c r="AU37" s="2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ht="31.5" customHeight="1">
      <c r="A38" s="50"/>
      <c r="B38" s="51"/>
      <c r="D38" s="155" t="s">
        <v>169</v>
      </c>
      <c r="E38" s="65" t="s">
        <v>139</v>
      </c>
      <c r="F38" s="65" t="s">
        <v>139</v>
      </c>
      <c r="G38" s="65" t="s">
        <v>139</v>
      </c>
      <c r="H38" s="65" t="s">
        <v>139</v>
      </c>
      <c r="I38" s="65" t="s">
        <v>139</v>
      </c>
      <c r="J38" s="65" t="s">
        <v>139</v>
      </c>
      <c r="K38" s="65" t="s">
        <v>139</v>
      </c>
      <c r="L38" s="40" t="s">
        <v>139</v>
      </c>
      <c r="M38" s="54"/>
      <c r="N38" s="50"/>
      <c r="O38" s="50"/>
      <c r="P38" s="156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8"/>
      <c r="AG38" s="50"/>
      <c r="AH38" s="51"/>
      <c r="AJ38" s="159" t="s">
        <v>170</v>
      </c>
      <c r="AK38" s="83" t="s">
        <v>170</v>
      </c>
      <c r="AL38" s="83" t="s">
        <v>170</v>
      </c>
      <c r="AM38" s="83" t="s">
        <v>170</v>
      </c>
      <c r="AN38" s="83" t="s">
        <v>170</v>
      </c>
      <c r="AO38" s="83" t="s">
        <v>170</v>
      </c>
      <c r="AP38" s="83" t="s">
        <v>170</v>
      </c>
      <c r="AQ38" s="160" t="s">
        <v>170</v>
      </c>
      <c r="AR38" s="161" t="s">
        <v>171</v>
      </c>
      <c r="AS38" s="54"/>
      <c r="AT38" s="5"/>
      <c r="AU38" s="2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ht="31.5" customHeight="1">
      <c r="A39" s="50"/>
      <c r="B39" s="98"/>
      <c r="C39" s="99"/>
      <c r="D39" s="99"/>
      <c r="E39" s="99"/>
      <c r="F39" s="99"/>
      <c r="G39" s="99"/>
      <c r="H39" s="99"/>
      <c r="I39" s="99"/>
      <c r="J39" s="99"/>
      <c r="K39" s="99"/>
      <c r="L39" s="100"/>
      <c r="M39" s="101"/>
      <c r="N39" s="50"/>
      <c r="O39" s="50"/>
      <c r="P39" s="162" t="s">
        <v>172</v>
      </c>
      <c r="AF39" s="163"/>
      <c r="AG39" s="50"/>
      <c r="AH39" s="98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101"/>
      <c r="AT39" s="5"/>
      <c r="AU39" s="2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ht="31.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3"/>
      <c r="M40" s="50"/>
      <c r="N40" s="50"/>
      <c r="O40" s="5"/>
      <c r="P40" s="164"/>
      <c r="AF40" s="163"/>
      <c r="AG40" s="50"/>
      <c r="AH40" s="50"/>
      <c r="AI40" s="50"/>
      <c r="AJ40" s="72"/>
      <c r="AK40" s="10"/>
      <c r="AL40" s="10"/>
      <c r="AM40" s="10"/>
      <c r="AN40" s="50"/>
      <c r="AO40" s="50"/>
      <c r="AP40" s="50"/>
      <c r="AQ40" s="50"/>
      <c r="AR40" s="50"/>
      <c r="AS40" s="50"/>
      <c r="AT40" s="5"/>
      <c r="AU40" s="2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ht="31.5" customHeight="1">
      <c r="A41" s="50"/>
      <c r="B41" s="114"/>
      <c r="C41" s="165"/>
      <c r="D41" s="166"/>
      <c r="E41" s="115"/>
      <c r="F41" s="115"/>
      <c r="G41" s="115"/>
      <c r="H41" s="115"/>
      <c r="I41" s="115"/>
      <c r="J41" s="115"/>
      <c r="K41" s="115"/>
      <c r="L41" s="129"/>
      <c r="M41" s="116"/>
      <c r="N41" s="50"/>
      <c r="O41" s="5"/>
      <c r="P41" s="167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9"/>
      <c r="AG41" s="50"/>
      <c r="AH41" s="114"/>
      <c r="AI41" s="15"/>
      <c r="AJ41" s="16"/>
      <c r="AK41" s="16"/>
      <c r="AL41" s="16"/>
      <c r="AM41" s="16"/>
      <c r="AN41" s="115"/>
      <c r="AO41" s="115"/>
      <c r="AP41" s="115"/>
      <c r="AQ41" s="115"/>
      <c r="AR41" s="115"/>
      <c r="AS41" s="116"/>
      <c r="AT41" s="5"/>
      <c r="AU41" s="170"/>
      <c r="AV41" s="171"/>
      <c r="AW41" s="171"/>
      <c r="AX41" s="171"/>
      <c r="AY41" s="171"/>
      <c r="AZ41" s="171"/>
      <c r="BA41" s="171"/>
      <c r="BB41" s="171"/>
      <c r="BC41" s="171"/>
      <c r="BD41" s="171"/>
      <c r="BE41" s="171"/>
    </row>
    <row r="42" ht="31.5" customHeight="1">
      <c r="A42" s="50"/>
      <c r="B42" s="51"/>
      <c r="C42" s="102" t="s">
        <v>173</v>
      </c>
      <c r="D42" s="103"/>
      <c r="E42" s="50"/>
      <c r="F42" s="120" t="s">
        <v>14</v>
      </c>
      <c r="G42" s="121">
        <f>I42+J42</f>
        <v>1</v>
      </c>
      <c r="H42" s="122" t="s">
        <v>15</v>
      </c>
      <c r="I42" s="123">
        <f>COUNTA(D44:K45)-J42</f>
        <v>1</v>
      </c>
      <c r="J42" s="125">
        <f>COUNTIFS(D44:K45,"*VIDE*")</f>
        <v>0</v>
      </c>
      <c r="K42" s="50"/>
      <c r="L42" s="133"/>
      <c r="M42" s="54"/>
      <c r="N42" s="50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0"/>
      <c r="AH42" s="51"/>
      <c r="AI42" s="102" t="s">
        <v>174</v>
      </c>
      <c r="AJ42" s="103"/>
      <c r="AK42" s="50"/>
      <c r="AL42" s="120" t="s">
        <v>14</v>
      </c>
      <c r="AM42" s="121">
        <f>AO42+AQ42</f>
        <v>72</v>
      </c>
      <c r="AN42" s="122" t="s">
        <v>15</v>
      </c>
      <c r="AO42" s="123">
        <f>COUNTA(AJ44:AR54)-AQ42</f>
        <v>72</v>
      </c>
      <c r="AP42" s="124" t="s">
        <v>16</v>
      </c>
      <c r="AQ42" s="125">
        <f>COUNTIFS(AJ44:AR54,"*VIDE*")</f>
        <v>0</v>
      </c>
      <c r="AR42" s="50"/>
      <c r="AS42" s="54"/>
      <c r="AT42" s="5"/>
      <c r="AU42" s="172"/>
      <c r="AV42" s="173"/>
      <c r="AW42" s="173"/>
      <c r="AX42" s="173"/>
      <c r="AY42" s="173"/>
      <c r="AZ42" s="173"/>
      <c r="BA42" s="173"/>
      <c r="BB42" s="173"/>
      <c r="BC42" s="173"/>
      <c r="BD42" s="173"/>
      <c r="BE42" s="173"/>
    </row>
    <row r="43" ht="31.5" customHeight="1">
      <c r="A43" s="50"/>
      <c r="B43" s="51"/>
      <c r="C43" s="50"/>
      <c r="D43" s="50"/>
      <c r="E43" s="50"/>
      <c r="F43" s="50"/>
      <c r="G43" s="50"/>
      <c r="H43" s="50"/>
      <c r="I43" s="50"/>
      <c r="J43" s="50"/>
      <c r="K43" s="50"/>
      <c r="L43" s="53"/>
      <c r="M43" s="54"/>
      <c r="N43" s="50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0"/>
      <c r="AH43" s="51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4"/>
      <c r="AT43" s="5"/>
      <c r="AU43" s="2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ht="31.5" customHeight="1">
      <c r="A44" s="50"/>
      <c r="B44" s="51"/>
      <c r="C44" s="57"/>
      <c r="D44" s="174" t="s">
        <v>175</v>
      </c>
      <c r="E44" s="175"/>
      <c r="F44" s="175"/>
      <c r="G44" s="175"/>
      <c r="H44" s="175"/>
      <c r="I44" s="175"/>
      <c r="J44" s="175"/>
      <c r="K44" s="176"/>
      <c r="L44" s="133"/>
      <c r="M44" s="54"/>
      <c r="N44" s="50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0"/>
      <c r="AH44" s="51"/>
      <c r="AI44" s="61" t="s">
        <v>18</v>
      </c>
      <c r="AJ44" s="177" t="s">
        <v>176</v>
      </c>
      <c r="AK44" s="147" t="s">
        <v>176</v>
      </c>
      <c r="AL44" s="147" t="s">
        <v>176</v>
      </c>
      <c r="AM44" s="147" t="s">
        <v>176</v>
      </c>
      <c r="AN44" s="147" t="s">
        <v>177</v>
      </c>
      <c r="AO44" s="148" t="s">
        <v>177</v>
      </c>
      <c r="AP44" s="147" t="s">
        <v>177</v>
      </c>
      <c r="AQ44" s="178" t="s">
        <v>178</v>
      </c>
      <c r="AR44" s="146" t="s">
        <v>179</v>
      </c>
      <c r="AS44" s="54"/>
      <c r="AT44" s="5"/>
      <c r="AU44" s="2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ht="31.5" customHeight="1">
      <c r="A45" s="50"/>
      <c r="B45" s="51"/>
      <c r="D45" s="167"/>
      <c r="E45" s="168"/>
      <c r="F45" s="168"/>
      <c r="G45" s="168"/>
      <c r="H45" s="168"/>
      <c r="I45" s="168"/>
      <c r="J45" s="168"/>
      <c r="K45" s="169"/>
      <c r="L45" s="133"/>
      <c r="M45" s="54"/>
      <c r="N45" s="50"/>
      <c r="O45" s="5"/>
      <c r="P45" s="179"/>
      <c r="Q45" s="175"/>
      <c r="R45" s="175"/>
      <c r="S45" s="175"/>
      <c r="T45" s="175"/>
      <c r="U45" s="176"/>
      <c r="V45" s="5"/>
      <c r="W45" s="179"/>
      <c r="X45" s="175"/>
      <c r="Y45" s="175"/>
      <c r="Z45" s="176"/>
      <c r="AA45" s="5"/>
      <c r="AB45" s="179"/>
      <c r="AC45" s="175"/>
      <c r="AD45" s="175"/>
      <c r="AE45" s="176"/>
      <c r="AF45" s="5"/>
      <c r="AG45" s="50"/>
      <c r="AH45" s="51"/>
      <c r="AJ45" s="159" t="s">
        <v>176</v>
      </c>
      <c r="AK45" s="83" t="s">
        <v>176</v>
      </c>
      <c r="AL45" s="83" t="s">
        <v>176</v>
      </c>
      <c r="AM45" s="83" t="s">
        <v>176</v>
      </c>
      <c r="AN45" s="83" t="s">
        <v>176</v>
      </c>
      <c r="AO45" s="83" t="s">
        <v>176</v>
      </c>
      <c r="AP45" s="83" t="s">
        <v>176</v>
      </c>
      <c r="AQ45" s="160" t="s">
        <v>176</v>
      </c>
      <c r="AR45" s="161" t="s">
        <v>180</v>
      </c>
      <c r="AS45" s="54"/>
      <c r="AT45" s="5"/>
      <c r="AU45" s="2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ht="31.5" customHeight="1">
      <c r="A46" s="50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100"/>
      <c r="M46" s="101"/>
      <c r="N46" s="50"/>
      <c r="O46" s="5"/>
      <c r="P46" s="164"/>
      <c r="U46" s="163"/>
      <c r="V46" s="5"/>
      <c r="W46" s="164"/>
      <c r="Z46" s="163"/>
      <c r="AA46" s="5"/>
      <c r="AB46" s="164"/>
      <c r="AE46" s="163"/>
      <c r="AF46" s="5"/>
      <c r="AG46" s="50"/>
      <c r="AH46" s="51"/>
      <c r="AI46" s="180"/>
      <c r="AJ46" s="50"/>
      <c r="AK46" s="72"/>
      <c r="AL46" s="72"/>
      <c r="AM46" s="72"/>
      <c r="AN46" s="72"/>
      <c r="AO46" s="72"/>
      <c r="AP46" s="72"/>
      <c r="AQ46" s="72"/>
      <c r="AR46" s="54"/>
      <c r="AS46" s="54"/>
      <c r="AT46" s="5"/>
      <c r="AU46" s="2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ht="31.5" customHeight="1">
      <c r="A47" s="50"/>
      <c r="B47" s="50"/>
      <c r="C47" s="50"/>
      <c r="D47" s="50"/>
      <c r="E47" s="10"/>
      <c r="F47" s="10"/>
      <c r="G47" s="10"/>
      <c r="H47" s="50"/>
      <c r="I47" s="50"/>
      <c r="J47" s="50"/>
      <c r="K47" s="50"/>
      <c r="L47" s="53"/>
      <c r="M47" s="50"/>
      <c r="N47" s="50"/>
      <c r="O47" s="5"/>
      <c r="P47" s="164"/>
      <c r="U47" s="163"/>
      <c r="V47" s="5"/>
      <c r="W47" s="164"/>
      <c r="Z47" s="163"/>
      <c r="AA47" s="5"/>
      <c r="AB47" s="164"/>
      <c r="AE47" s="163"/>
      <c r="AF47" s="5"/>
      <c r="AG47" s="50"/>
      <c r="AH47" s="51"/>
      <c r="AI47" s="61" t="s">
        <v>27</v>
      </c>
      <c r="AJ47" s="177" t="s">
        <v>181</v>
      </c>
      <c r="AK47" s="147" t="s">
        <v>181</v>
      </c>
      <c r="AL47" s="147" t="s">
        <v>182</v>
      </c>
      <c r="AM47" s="148" t="s">
        <v>181</v>
      </c>
      <c r="AN47" s="147" t="s">
        <v>182</v>
      </c>
      <c r="AO47" s="147" t="s">
        <v>182</v>
      </c>
      <c r="AP47" s="147" t="s">
        <v>182</v>
      </c>
      <c r="AQ47" s="149" t="s">
        <v>182</v>
      </c>
      <c r="AR47" s="181" t="s">
        <v>183</v>
      </c>
      <c r="AS47" s="54"/>
      <c r="AT47" s="5"/>
      <c r="AU47" s="2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ht="31.5" customHeight="1">
      <c r="A48" s="50"/>
      <c r="B48" s="114"/>
      <c r="C48" s="15"/>
      <c r="D48" s="16"/>
      <c r="E48" s="16"/>
      <c r="F48" s="16"/>
      <c r="G48" s="16"/>
      <c r="H48" s="115"/>
      <c r="I48" s="115"/>
      <c r="J48" s="128"/>
      <c r="K48" s="115"/>
      <c r="L48" s="129"/>
      <c r="M48" s="116"/>
      <c r="N48" s="50"/>
      <c r="O48" s="5"/>
      <c r="P48" s="164"/>
      <c r="U48" s="163"/>
      <c r="V48" s="5"/>
      <c r="W48" s="164"/>
      <c r="Z48" s="163"/>
      <c r="AA48" s="5"/>
      <c r="AB48" s="164"/>
      <c r="AE48" s="163"/>
      <c r="AF48" s="5"/>
      <c r="AG48" s="50"/>
      <c r="AH48" s="51"/>
      <c r="AJ48" s="182" t="s">
        <v>184</v>
      </c>
      <c r="AK48" s="159" t="s">
        <v>181</v>
      </c>
      <c r="AL48" s="159" t="s">
        <v>181</v>
      </c>
      <c r="AM48" s="159" t="s">
        <v>181</v>
      </c>
      <c r="AN48" s="148" t="s">
        <v>181</v>
      </c>
      <c r="AO48" s="159" t="s">
        <v>181</v>
      </c>
      <c r="AP48" s="182" t="s">
        <v>184</v>
      </c>
      <c r="AQ48" s="159" t="s">
        <v>181</v>
      </c>
      <c r="AR48" s="181" t="s">
        <v>185</v>
      </c>
      <c r="AS48" s="54"/>
      <c r="AT48" s="5"/>
      <c r="AU48" s="2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ht="31.5" customHeight="1">
      <c r="A49" s="50"/>
      <c r="B49" s="51"/>
      <c r="C49" s="102" t="s">
        <v>186</v>
      </c>
      <c r="D49" s="103"/>
      <c r="E49" s="50"/>
      <c r="F49" s="120" t="s">
        <v>14</v>
      </c>
      <c r="G49" s="121">
        <f>I49+J49</f>
        <v>64</v>
      </c>
      <c r="H49" s="122" t="s">
        <v>15</v>
      </c>
      <c r="I49" s="123">
        <f>COUNTA(D51:K61)-J49</f>
        <v>64</v>
      </c>
      <c r="J49" s="125">
        <f>COUNTIFS(D51:K61,"*VIDE*")</f>
        <v>0</v>
      </c>
      <c r="K49" s="72"/>
      <c r="L49" s="72"/>
      <c r="M49" s="54"/>
      <c r="N49" s="50"/>
      <c r="O49" s="5"/>
      <c r="P49" s="164"/>
      <c r="U49" s="163"/>
      <c r="V49" s="5"/>
      <c r="W49" s="164"/>
      <c r="Z49" s="163"/>
      <c r="AA49" s="5"/>
      <c r="AB49" s="164"/>
      <c r="AE49" s="163"/>
      <c r="AF49" s="5"/>
      <c r="AG49" s="50"/>
      <c r="AH49" s="51"/>
      <c r="AI49" s="183"/>
      <c r="AJ49" s="50"/>
      <c r="AK49" s="50"/>
      <c r="AL49" s="50"/>
      <c r="AM49" s="50"/>
      <c r="AN49" s="50"/>
      <c r="AO49" s="50"/>
      <c r="AP49" s="50"/>
      <c r="AQ49" s="50"/>
      <c r="AR49" s="53"/>
      <c r="AS49" s="54"/>
      <c r="AT49" s="5"/>
      <c r="AU49" s="2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ht="31.5" customHeight="1">
      <c r="A50" s="50"/>
      <c r="B50" s="51"/>
      <c r="C50" s="50"/>
      <c r="D50" s="72"/>
      <c r="E50" s="50"/>
      <c r="F50" s="50"/>
      <c r="G50" s="50"/>
      <c r="H50" s="50"/>
      <c r="I50" s="50"/>
      <c r="J50" s="50"/>
      <c r="K50" s="50"/>
      <c r="L50" s="53"/>
      <c r="M50" s="54"/>
      <c r="N50" s="50"/>
      <c r="O50" s="5"/>
      <c r="P50" s="164"/>
      <c r="U50" s="163"/>
      <c r="V50" s="5"/>
      <c r="W50" s="164"/>
      <c r="Z50" s="163"/>
      <c r="AA50" s="5"/>
      <c r="AB50" s="164"/>
      <c r="AE50" s="163"/>
      <c r="AF50" s="5"/>
      <c r="AG50" s="50"/>
      <c r="AH50" s="51"/>
      <c r="AI50" s="61" t="s">
        <v>43</v>
      </c>
      <c r="AJ50" s="177" t="s">
        <v>181</v>
      </c>
      <c r="AK50" s="147" t="s">
        <v>181</v>
      </c>
      <c r="AL50" s="147" t="s">
        <v>181</v>
      </c>
      <c r="AM50" s="147" t="s">
        <v>187</v>
      </c>
      <c r="AN50" s="147" t="s">
        <v>181</v>
      </c>
      <c r="AO50" s="147" t="s">
        <v>181</v>
      </c>
      <c r="AP50" s="147" t="s">
        <v>181</v>
      </c>
      <c r="AQ50" s="149" t="s">
        <v>181</v>
      </c>
      <c r="AR50" s="146" t="s">
        <v>188</v>
      </c>
      <c r="AS50" s="54"/>
      <c r="AT50" s="5"/>
      <c r="AU50" s="2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ht="31.5" customHeight="1">
      <c r="A51" s="50"/>
      <c r="B51" s="51"/>
      <c r="C51" s="57" t="s">
        <v>18</v>
      </c>
      <c r="D51" s="184" t="s">
        <v>189</v>
      </c>
      <c r="E51" s="177" t="s">
        <v>190</v>
      </c>
      <c r="F51" s="147" t="s">
        <v>190</v>
      </c>
      <c r="G51" s="147" t="s">
        <v>190</v>
      </c>
      <c r="H51" s="147" t="s">
        <v>190</v>
      </c>
      <c r="I51" s="147" t="s">
        <v>190</v>
      </c>
      <c r="J51" s="147" t="s">
        <v>190</v>
      </c>
      <c r="K51" s="147" t="s">
        <v>190</v>
      </c>
      <c r="L51" s="149" t="s">
        <v>190</v>
      </c>
      <c r="M51" s="54"/>
      <c r="N51" s="50"/>
      <c r="O51" s="5"/>
      <c r="P51" s="164"/>
      <c r="U51" s="163"/>
      <c r="V51" s="5"/>
      <c r="W51" s="164"/>
      <c r="Z51" s="163"/>
      <c r="AA51" s="5"/>
      <c r="AB51" s="164"/>
      <c r="AE51" s="163"/>
      <c r="AF51" s="5"/>
      <c r="AG51" s="50"/>
      <c r="AH51" s="51"/>
      <c r="AJ51" s="159" t="s">
        <v>191</v>
      </c>
      <c r="AK51" s="83" t="s">
        <v>181</v>
      </c>
      <c r="AL51" s="83" t="s">
        <v>181</v>
      </c>
      <c r="AM51" s="83" t="s">
        <v>187</v>
      </c>
      <c r="AN51" s="83" t="s">
        <v>181</v>
      </c>
      <c r="AO51" s="83" t="s">
        <v>181</v>
      </c>
      <c r="AP51" s="83" t="s">
        <v>181</v>
      </c>
      <c r="AQ51" s="160" t="s">
        <v>181</v>
      </c>
      <c r="AR51" s="161" t="s">
        <v>188</v>
      </c>
      <c r="AS51" s="54"/>
      <c r="AT51" s="5"/>
      <c r="AU51" s="2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ht="31.5" customHeight="1">
      <c r="A52" s="50"/>
      <c r="B52" s="51"/>
      <c r="D52" s="161" t="s">
        <v>192</v>
      </c>
      <c r="E52" s="83" t="s">
        <v>193</v>
      </c>
      <c r="F52" s="83" t="s">
        <v>193</v>
      </c>
      <c r="G52" s="185" t="s">
        <v>193</v>
      </c>
      <c r="H52" s="83" t="s">
        <v>193</v>
      </c>
      <c r="I52" s="83" t="s">
        <v>193</v>
      </c>
      <c r="J52" s="83" t="s">
        <v>193</v>
      </c>
      <c r="K52" s="160" t="s">
        <v>193</v>
      </c>
      <c r="L52" s="160" t="s">
        <v>194</v>
      </c>
      <c r="M52" s="54"/>
      <c r="N52" s="50"/>
      <c r="O52" s="50"/>
      <c r="P52" s="164"/>
      <c r="U52" s="163"/>
      <c r="V52" s="5"/>
      <c r="W52" s="164"/>
      <c r="Z52" s="163"/>
      <c r="AA52" s="5"/>
      <c r="AB52" s="164"/>
      <c r="AE52" s="163"/>
      <c r="AF52" s="5"/>
      <c r="AG52" s="50"/>
      <c r="AH52" s="51"/>
      <c r="AI52" s="183"/>
      <c r="AJ52" s="50"/>
      <c r="AK52" s="50"/>
      <c r="AL52" s="50"/>
      <c r="AM52" s="50"/>
      <c r="AN52" s="50"/>
      <c r="AO52" s="50"/>
      <c r="AP52" s="50"/>
      <c r="AQ52" s="72"/>
      <c r="AR52" s="53"/>
      <c r="AS52" s="54"/>
      <c r="AT52" s="5"/>
      <c r="AU52" s="2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ht="31.5" customHeight="1">
      <c r="A53" s="50"/>
      <c r="B53" s="51"/>
      <c r="C53" s="50"/>
      <c r="D53" s="50"/>
      <c r="E53" s="50"/>
      <c r="F53" s="50"/>
      <c r="G53" s="50"/>
      <c r="H53" s="50"/>
      <c r="I53" s="50"/>
      <c r="J53" s="50"/>
      <c r="K53" s="50"/>
      <c r="L53" s="53"/>
      <c r="M53" s="54"/>
      <c r="N53" s="2"/>
      <c r="O53" s="50"/>
      <c r="P53" s="164"/>
      <c r="U53" s="163"/>
      <c r="V53" s="5"/>
      <c r="W53" s="164"/>
      <c r="Z53" s="163"/>
      <c r="AA53" s="5"/>
      <c r="AB53" s="164"/>
      <c r="AE53" s="163"/>
      <c r="AF53" s="5"/>
      <c r="AG53" s="50"/>
      <c r="AH53" s="51"/>
      <c r="AI53" s="61" t="s">
        <v>67</v>
      </c>
      <c r="AJ53" s="177" t="s">
        <v>181</v>
      </c>
      <c r="AK53" s="148" t="s">
        <v>181</v>
      </c>
      <c r="AL53" s="148" t="s">
        <v>181</v>
      </c>
      <c r="AM53" s="147" t="s">
        <v>181</v>
      </c>
      <c r="AN53" s="147" t="s">
        <v>181</v>
      </c>
      <c r="AO53" s="148" t="s">
        <v>181</v>
      </c>
      <c r="AP53" s="147" t="s">
        <v>181</v>
      </c>
      <c r="AQ53" s="149" t="s">
        <v>181</v>
      </c>
      <c r="AR53" s="186" t="s">
        <v>195</v>
      </c>
      <c r="AS53" s="54"/>
      <c r="AT53" s="5"/>
      <c r="AU53" s="2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ht="31.5" customHeight="1">
      <c r="A54" s="50"/>
      <c r="B54" s="51"/>
      <c r="C54" s="57" t="s">
        <v>27</v>
      </c>
      <c r="D54" s="147" t="s">
        <v>196</v>
      </c>
      <c r="E54" s="147" t="s">
        <v>24</v>
      </c>
      <c r="F54" s="147" t="s">
        <v>24</v>
      </c>
      <c r="G54" s="147" t="s">
        <v>24</v>
      </c>
      <c r="H54" s="147" t="s">
        <v>24</v>
      </c>
      <c r="I54" s="147" t="s">
        <v>197</v>
      </c>
      <c r="J54" s="147" t="s">
        <v>191</v>
      </c>
      <c r="K54" s="147" t="s">
        <v>191</v>
      </c>
      <c r="L54" s="147" t="s">
        <v>194</v>
      </c>
      <c r="M54" s="54"/>
      <c r="N54" s="2"/>
      <c r="O54" s="50"/>
      <c r="P54" s="164"/>
      <c r="U54" s="163"/>
      <c r="V54" s="5"/>
      <c r="W54" s="164"/>
      <c r="Z54" s="163"/>
      <c r="AA54" s="5"/>
      <c r="AB54" s="164"/>
      <c r="AE54" s="163"/>
      <c r="AF54" s="5"/>
      <c r="AG54" s="50"/>
      <c r="AH54" s="51"/>
      <c r="AJ54" s="187" t="s">
        <v>181</v>
      </c>
      <c r="AK54" s="188" t="s">
        <v>181</v>
      </c>
      <c r="AL54" s="83" t="s">
        <v>181</v>
      </c>
      <c r="AM54" s="189" t="s">
        <v>181</v>
      </c>
      <c r="AN54" s="83" t="s">
        <v>181</v>
      </c>
      <c r="AO54" s="83" t="s">
        <v>181</v>
      </c>
      <c r="AP54" s="83" t="s">
        <v>181</v>
      </c>
      <c r="AQ54" s="160" t="s">
        <v>195</v>
      </c>
      <c r="AR54" s="161" t="s">
        <v>198</v>
      </c>
      <c r="AS54" s="54"/>
      <c r="AT54" s="5"/>
      <c r="AU54" s="2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ht="31.5" customHeight="1">
      <c r="A55" s="50"/>
      <c r="B55" s="51"/>
      <c r="D55" s="190" t="s">
        <v>199</v>
      </c>
      <c r="E55" s="83" t="s">
        <v>200</v>
      </c>
      <c r="F55" s="83" t="s">
        <v>201</v>
      </c>
      <c r="G55" s="83" t="s">
        <v>202</v>
      </c>
      <c r="H55" s="83" t="s">
        <v>203</v>
      </c>
      <c r="I55" s="83" t="s">
        <v>204</v>
      </c>
      <c r="J55" s="83" t="s">
        <v>205</v>
      </c>
      <c r="K55" s="191" t="s">
        <v>206</v>
      </c>
      <c r="L55" s="192" t="s">
        <v>206</v>
      </c>
      <c r="M55" s="54"/>
      <c r="N55" s="2"/>
      <c r="O55" s="50"/>
      <c r="P55" s="164"/>
      <c r="U55" s="163"/>
      <c r="V55" s="5"/>
      <c r="W55" s="164"/>
      <c r="Z55" s="163"/>
      <c r="AA55" s="5"/>
      <c r="AB55" s="164"/>
      <c r="AE55" s="163"/>
      <c r="AF55" s="5"/>
      <c r="AG55" s="50"/>
      <c r="AH55" s="98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101"/>
      <c r="AT55" s="5"/>
      <c r="AU55" s="2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ht="31.5" customHeight="1">
      <c r="A56" s="50"/>
      <c r="B56" s="51"/>
      <c r="C56" s="52"/>
      <c r="D56" s="72"/>
      <c r="E56" s="72"/>
      <c r="F56" s="50"/>
      <c r="G56" s="50"/>
      <c r="H56" s="50"/>
      <c r="I56" s="50"/>
      <c r="J56" s="50"/>
      <c r="K56" s="53"/>
      <c r="L56" s="133"/>
      <c r="M56" s="54"/>
      <c r="N56" s="2"/>
      <c r="O56" s="50"/>
      <c r="P56" s="167"/>
      <c r="Q56" s="168"/>
      <c r="R56" s="168"/>
      <c r="S56" s="168"/>
      <c r="T56" s="168"/>
      <c r="U56" s="169"/>
      <c r="V56" s="5"/>
      <c r="W56" s="167"/>
      <c r="X56" s="168"/>
      <c r="Y56" s="168"/>
      <c r="Z56" s="169"/>
      <c r="AA56" s="5"/>
      <c r="AB56" s="167"/>
      <c r="AC56" s="168"/>
      <c r="AD56" s="168"/>
      <c r="AE56" s="169"/>
      <c r="AF56" s="5"/>
      <c r="AG56" s="50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3"/>
      <c r="AT56" s="2"/>
      <c r="AU56" s="2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ht="31.5" customHeight="1">
      <c r="A57" s="50"/>
      <c r="B57" s="51"/>
      <c r="C57" s="57" t="s">
        <v>43</v>
      </c>
      <c r="D57" s="80" t="s">
        <v>207</v>
      </c>
      <c r="E57" s="193" t="s">
        <v>208</v>
      </c>
      <c r="F57" s="147" t="s">
        <v>209</v>
      </c>
      <c r="G57" s="83" t="s">
        <v>202</v>
      </c>
      <c r="H57" s="194" t="s">
        <v>210</v>
      </c>
      <c r="I57" s="195" t="s">
        <v>211</v>
      </c>
      <c r="J57" s="196" t="s">
        <v>212</v>
      </c>
      <c r="K57" s="147" t="s">
        <v>213</v>
      </c>
      <c r="L57" s="196" t="s">
        <v>214</v>
      </c>
      <c r="M57" s="54"/>
      <c r="N57" s="2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"/>
      <c r="AC57" s="50"/>
      <c r="AD57" s="50"/>
      <c r="AE57" s="50"/>
      <c r="AF57" s="50"/>
      <c r="AG57" s="50"/>
      <c r="AH57" s="92"/>
      <c r="AI57" s="197"/>
      <c r="AJ57" s="198"/>
      <c r="AK57" s="93"/>
      <c r="AL57" s="93"/>
      <c r="AM57" s="93"/>
      <c r="AN57" s="93"/>
      <c r="AO57" s="93"/>
      <c r="AP57" s="93"/>
      <c r="AQ57" s="93"/>
      <c r="AR57" s="94"/>
      <c r="AS57" s="5"/>
      <c r="AT57" s="5"/>
      <c r="AU57" s="2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ht="31.5" customHeight="1">
      <c r="A58" s="50"/>
      <c r="B58" s="51"/>
      <c r="D58" s="189" t="s">
        <v>215</v>
      </c>
      <c r="E58" s="185" t="s">
        <v>216</v>
      </c>
      <c r="F58" s="83" t="s">
        <v>217</v>
      </c>
      <c r="G58" s="199" t="s">
        <v>218</v>
      </c>
      <c r="H58" s="83" t="s">
        <v>219</v>
      </c>
      <c r="I58" s="147" t="s">
        <v>220</v>
      </c>
      <c r="J58" s="185" t="s">
        <v>221</v>
      </c>
      <c r="K58" s="185" t="s">
        <v>221</v>
      </c>
      <c r="L58" s="200" t="s">
        <v>222</v>
      </c>
      <c r="M58" s="54"/>
      <c r="N58" s="2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5"/>
      <c r="AI58" s="102" t="s">
        <v>223</v>
      </c>
      <c r="AJ58" s="103"/>
      <c r="AK58" s="50"/>
      <c r="AL58" s="120" t="s">
        <v>14</v>
      </c>
      <c r="AM58" s="121">
        <f>AO58+AQ58</f>
        <v>3</v>
      </c>
      <c r="AN58" s="122" t="s">
        <v>15</v>
      </c>
      <c r="AO58" s="123">
        <f>COUNTA(AJ60:AR61)-AQ58</f>
        <v>3</v>
      </c>
      <c r="AP58" s="124" t="s">
        <v>16</v>
      </c>
      <c r="AQ58" s="125">
        <f>COUNTIFS(AJ60:AR61,"*VIDE*")</f>
        <v>0</v>
      </c>
      <c r="AR58" s="104"/>
      <c r="AS58" s="5"/>
      <c r="AT58" s="5"/>
      <c r="AU58" s="2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ht="31.5" customHeight="1">
      <c r="A59" s="2"/>
      <c r="B59" s="51"/>
      <c r="C59" s="52"/>
      <c r="D59" s="50"/>
      <c r="E59" s="50"/>
      <c r="F59" s="50"/>
      <c r="G59" s="50"/>
      <c r="H59" s="50"/>
      <c r="I59" s="50"/>
      <c r="J59" s="50"/>
      <c r="K59" s="201"/>
      <c r="L59" s="140"/>
      <c r="M59" s="54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5"/>
      <c r="AI59" s="50"/>
      <c r="AJ59" s="50"/>
      <c r="AK59" s="50"/>
      <c r="AL59" s="50"/>
      <c r="AM59" s="50"/>
      <c r="AN59" s="50"/>
      <c r="AO59" s="50"/>
      <c r="AP59" s="50"/>
      <c r="AQ59" s="50"/>
      <c r="AR59" s="104"/>
      <c r="AS59" s="5"/>
      <c r="AT59" s="5"/>
      <c r="AU59" s="2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ht="31.5" customHeight="1">
      <c r="A60" s="2"/>
      <c r="B60" s="51"/>
      <c r="C60" s="57" t="s">
        <v>67</v>
      </c>
      <c r="D60" s="188" t="s">
        <v>224</v>
      </c>
      <c r="E60" s="83" t="s">
        <v>225</v>
      </c>
      <c r="F60" s="147" t="s">
        <v>226</v>
      </c>
      <c r="G60" s="83" t="s">
        <v>227</v>
      </c>
      <c r="H60" s="147" t="s">
        <v>228</v>
      </c>
      <c r="I60" s="147" t="s">
        <v>229</v>
      </c>
      <c r="J60" s="83" t="s">
        <v>230</v>
      </c>
      <c r="K60" s="147" t="s">
        <v>231</v>
      </c>
      <c r="L60" s="147" t="s">
        <v>232</v>
      </c>
      <c r="M60" s="54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"/>
      <c r="AC60" s="5"/>
      <c r="AD60" s="50"/>
      <c r="AE60" s="50"/>
      <c r="AF60" s="5"/>
      <c r="AG60" s="50"/>
      <c r="AH60" s="55"/>
      <c r="AI60" s="57"/>
      <c r="AJ60" s="202" t="s">
        <v>233</v>
      </c>
      <c r="AK60" s="176"/>
      <c r="AL60" s="203"/>
      <c r="AM60" s="202" t="s">
        <v>234</v>
      </c>
      <c r="AN60" s="176"/>
      <c r="AO60" s="203"/>
      <c r="AP60" s="202" t="s">
        <v>235</v>
      </c>
      <c r="AQ60" s="176"/>
      <c r="AR60" s="104"/>
      <c r="AS60" s="5"/>
      <c r="AT60" s="5"/>
      <c r="AU60" s="2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ht="31.5" customHeight="1">
      <c r="A61" s="2"/>
      <c r="B61" s="51"/>
      <c r="D61" s="204" t="s">
        <v>236</v>
      </c>
      <c r="E61" s="147" t="s">
        <v>237</v>
      </c>
      <c r="F61" s="147" t="s">
        <v>238</v>
      </c>
      <c r="G61" s="147" t="s">
        <v>239</v>
      </c>
      <c r="H61" s="83" t="s">
        <v>221</v>
      </c>
      <c r="I61" s="191" t="s">
        <v>206</v>
      </c>
      <c r="J61" s="161" t="s">
        <v>240</v>
      </c>
      <c r="K61" s="147" t="s">
        <v>241</v>
      </c>
      <c r="L61" s="147" t="s">
        <v>242</v>
      </c>
      <c r="M61" s="54"/>
      <c r="N61" s="50"/>
      <c r="O61" s="92"/>
      <c r="P61" s="197"/>
      <c r="Q61" s="198"/>
      <c r="R61" s="93"/>
      <c r="S61" s="93"/>
      <c r="T61" s="93"/>
      <c r="U61" s="93"/>
      <c r="V61" s="93"/>
      <c r="W61" s="93"/>
      <c r="X61" s="94"/>
      <c r="Y61" s="50"/>
      <c r="Z61" s="205"/>
      <c r="AA61" s="175"/>
      <c r="AB61" s="175"/>
      <c r="AC61" s="175"/>
      <c r="AD61" s="175"/>
      <c r="AE61" s="176"/>
      <c r="AF61" s="5"/>
      <c r="AG61" s="50"/>
      <c r="AH61" s="55"/>
      <c r="AJ61" s="167"/>
      <c r="AK61" s="169"/>
      <c r="AL61" s="203"/>
      <c r="AM61" s="167"/>
      <c r="AN61" s="169"/>
      <c r="AO61" s="203"/>
      <c r="AP61" s="167"/>
      <c r="AQ61" s="169"/>
      <c r="AR61" s="104"/>
      <c r="AS61" s="97"/>
      <c r="AT61" s="5"/>
      <c r="AU61" s="2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ht="31.5" customHeight="1">
      <c r="A62" s="50"/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100"/>
      <c r="M62" s="101"/>
      <c r="N62" s="50"/>
      <c r="O62" s="55"/>
      <c r="P62" s="102"/>
      <c r="Q62" s="103"/>
      <c r="R62" s="120"/>
      <c r="S62" s="121"/>
      <c r="T62" s="122"/>
      <c r="U62" s="123"/>
      <c r="V62" s="124"/>
      <c r="W62" s="206"/>
      <c r="X62" s="79"/>
      <c r="Y62" s="50"/>
      <c r="Z62" s="164"/>
      <c r="AE62" s="163"/>
      <c r="AF62" s="5"/>
      <c r="AG62" s="50"/>
      <c r="AH62" s="73"/>
      <c r="AI62" s="75"/>
      <c r="AJ62" s="75"/>
      <c r="AK62" s="75"/>
      <c r="AL62" s="75"/>
      <c r="AM62" s="75"/>
      <c r="AN62" s="75"/>
      <c r="AO62" s="75"/>
      <c r="AP62" s="75"/>
      <c r="AQ62" s="207"/>
      <c r="AR62" s="76"/>
      <c r="AS62" s="5"/>
      <c r="AT62" s="5"/>
      <c r="AU62" s="2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ht="31.5" customHeight="1">
      <c r="A63" s="50"/>
      <c r="B63" s="2"/>
      <c r="C63" s="2"/>
      <c r="D63" s="2"/>
      <c r="E63" s="10"/>
      <c r="F63" s="10"/>
      <c r="G63" s="10"/>
      <c r="H63" s="2"/>
      <c r="I63" s="2"/>
      <c r="J63" s="2"/>
      <c r="K63" s="2"/>
      <c r="L63" s="3"/>
      <c r="M63" s="2"/>
      <c r="N63" s="50"/>
      <c r="O63" s="55"/>
      <c r="P63" s="50"/>
      <c r="Q63" s="50"/>
      <c r="R63" s="50"/>
      <c r="S63" s="50"/>
      <c r="T63" s="50"/>
      <c r="U63" s="50"/>
      <c r="V63" s="50"/>
      <c r="W63" s="50"/>
      <c r="X63" s="104"/>
      <c r="Y63" s="50"/>
      <c r="Z63" s="164"/>
      <c r="AE63" s="163"/>
      <c r="AF63" s="5"/>
      <c r="AG63" s="50"/>
      <c r="AH63" s="2"/>
      <c r="AI63" s="2"/>
      <c r="AJ63" s="2"/>
      <c r="AK63" s="10"/>
      <c r="AL63" s="10"/>
      <c r="AM63" s="10"/>
      <c r="AN63" s="2"/>
      <c r="AO63" s="2"/>
      <c r="AP63" s="2"/>
      <c r="AQ63" s="2"/>
      <c r="AR63" s="2"/>
      <c r="AS63" s="5"/>
      <c r="AT63" s="5"/>
      <c r="AU63" s="2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ht="31.5" customHeight="1">
      <c r="A64" s="50"/>
      <c r="B64" s="14"/>
      <c r="C64" s="15"/>
      <c r="D64" s="147" t="s">
        <v>243</v>
      </c>
      <c r="E64" s="204" t="s">
        <v>244</v>
      </c>
      <c r="F64" s="208" t="s">
        <v>245</v>
      </c>
      <c r="G64" s="16"/>
      <c r="H64" s="17"/>
      <c r="I64" s="17"/>
      <c r="J64" s="128"/>
      <c r="K64" s="17"/>
      <c r="L64" s="18"/>
      <c r="M64" s="19"/>
      <c r="N64" s="209"/>
      <c r="O64" s="55"/>
      <c r="P64" s="57"/>
      <c r="Q64" s="210"/>
      <c r="R64" s="175"/>
      <c r="S64" s="175"/>
      <c r="T64" s="175"/>
      <c r="U64" s="175"/>
      <c r="V64" s="175"/>
      <c r="W64" s="176"/>
      <c r="X64" s="104"/>
      <c r="Y64" s="50"/>
      <c r="Z64" s="164"/>
      <c r="AE64" s="163"/>
      <c r="AF64" s="5"/>
      <c r="AG64" s="50"/>
      <c r="AH64" s="114"/>
      <c r="AI64" s="15"/>
      <c r="AJ64" s="16"/>
      <c r="AK64" s="16"/>
      <c r="AL64" s="16"/>
      <c r="AM64" s="16"/>
      <c r="AN64" s="115"/>
      <c r="AO64" s="115"/>
      <c r="AP64" s="115"/>
      <c r="AQ64" s="94"/>
      <c r="AR64" s="5"/>
      <c r="AS64" s="5"/>
      <c r="AT64" s="5"/>
      <c r="AU64" s="2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ht="31.5" customHeight="1">
      <c r="A65" s="50"/>
      <c r="B65" s="26"/>
      <c r="C65" s="27" t="s">
        <v>246</v>
      </c>
      <c r="D65" s="147" t="s">
        <v>243</v>
      </c>
      <c r="E65" s="2"/>
      <c r="F65" s="29" t="s">
        <v>14</v>
      </c>
      <c r="G65" s="30">
        <f>I65+J65</f>
        <v>77</v>
      </c>
      <c r="H65" s="31" t="s">
        <v>15</v>
      </c>
      <c r="I65" s="32">
        <f>COUNTA(D67:L79)-J65</f>
        <v>77</v>
      </c>
      <c r="J65" s="33">
        <f>COUNTIFS(D67:L79,"*VIDE*")</f>
        <v>0</v>
      </c>
      <c r="K65" s="2"/>
      <c r="L65" s="97">
        <v>9.0</v>
      </c>
      <c r="M65" s="34"/>
      <c r="N65" s="209"/>
      <c r="O65" s="211"/>
      <c r="Q65" s="167"/>
      <c r="R65" s="168"/>
      <c r="S65" s="168"/>
      <c r="T65" s="168"/>
      <c r="U65" s="168"/>
      <c r="V65" s="168"/>
      <c r="W65" s="169"/>
      <c r="X65" s="104"/>
      <c r="Y65" s="50"/>
      <c r="Z65" s="164"/>
      <c r="AE65" s="163"/>
      <c r="AF65" s="5"/>
      <c r="AG65" s="50"/>
      <c r="AH65" s="51"/>
      <c r="AI65" s="102" t="s">
        <v>247</v>
      </c>
      <c r="AJ65" s="120" t="s">
        <v>14</v>
      </c>
      <c r="AK65" s="121">
        <f>AM65+AO65</f>
        <v>48</v>
      </c>
      <c r="AL65" s="122" t="s">
        <v>15</v>
      </c>
      <c r="AM65" s="123">
        <f>COUNTA(AK67:AP77)-AO65</f>
        <v>45</v>
      </c>
      <c r="AN65" s="124" t="s">
        <v>16</v>
      </c>
      <c r="AO65" s="125">
        <f>COUNTIFS(AK67:AP77,"*VIDE*")</f>
        <v>3</v>
      </c>
      <c r="AP65" s="50"/>
      <c r="AQ65" s="104"/>
      <c r="AR65" s="5"/>
      <c r="AS65" s="5"/>
      <c r="AT65" s="5"/>
      <c r="AU65" s="2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ht="31.5" customHeight="1">
      <c r="A66" s="50"/>
      <c r="B66" s="51"/>
      <c r="C66" s="52"/>
      <c r="D66" s="50"/>
      <c r="E66" s="50"/>
      <c r="F66" s="50"/>
      <c r="G66" s="50"/>
      <c r="H66" s="50"/>
      <c r="I66" s="50"/>
      <c r="J66" s="50"/>
      <c r="K66" s="50"/>
      <c r="L66" s="53"/>
      <c r="M66" s="54"/>
      <c r="N66" s="209"/>
      <c r="O66" s="211"/>
      <c r="P66" s="99"/>
      <c r="Q66" s="99"/>
      <c r="R66" s="99"/>
      <c r="S66" s="99"/>
      <c r="T66" s="99"/>
      <c r="U66" s="99"/>
      <c r="V66" s="99"/>
      <c r="W66" s="99"/>
      <c r="X66" s="212"/>
      <c r="Y66" s="50"/>
      <c r="Z66" s="164"/>
      <c r="AE66" s="163"/>
      <c r="AF66" s="5"/>
      <c r="AG66" s="50"/>
      <c r="AH66" s="51"/>
      <c r="AI66" s="50"/>
      <c r="AJ66" s="50"/>
      <c r="AK66" s="50"/>
      <c r="AL66" s="50"/>
      <c r="AM66" s="50"/>
      <c r="AN66" s="50"/>
      <c r="AO66" s="50"/>
      <c r="AP66" s="50"/>
      <c r="AQ66" s="104"/>
      <c r="AR66" s="5"/>
      <c r="AS66" s="5"/>
      <c r="AT66" s="5"/>
      <c r="AU66" s="2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ht="31.5" customHeight="1">
      <c r="A67" s="50"/>
      <c r="B67" s="51"/>
      <c r="C67" s="57" t="s">
        <v>20</v>
      </c>
      <c r="D67" s="213"/>
      <c r="E67" s="147" t="s">
        <v>243</v>
      </c>
      <c r="F67" s="147" t="s">
        <v>243</v>
      </c>
      <c r="G67" s="147" t="s">
        <v>243</v>
      </c>
      <c r="H67" s="147" t="s">
        <v>243</v>
      </c>
      <c r="I67" s="147" t="s">
        <v>243</v>
      </c>
      <c r="J67" s="147" t="s">
        <v>243</v>
      </c>
      <c r="K67" s="147" t="s">
        <v>243</v>
      </c>
      <c r="L67" s="147" t="s">
        <v>243</v>
      </c>
      <c r="M67" s="147" t="s">
        <v>243</v>
      </c>
      <c r="N67" s="209"/>
      <c r="O67" s="5"/>
      <c r="P67" s="5"/>
      <c r="Q67" s="5"/>
      <c r="R67" s="5"/>
      <c r="S67" s="5"/>
      <c r="T67" s="5"/>
      <c r="U67" s="5"/>
      <c r="V67" s="5"/>
      <c r="W67" s="5"/>
      <c r="X67" s="5"/>
      <c r="Y67" s="50"/>
      <c r="Z67" s="164"/>
      <c r="AE67" s="163"/>
      <c r="AF67" s="5"/>
      <c r="AG67" s="50"/>
      <c r="AH67" s="51"/>
      <c r="AI67" s="5"/>
      <c r="AJ67" s="61" t="s">
        <v>18</v>
      </c>
      <c r="AK67" s="214" t="s">
        <v>248</v>
      </c>
      <c r="AL67" s="215" t="s">
        <v>248</v>
      </c>
      <c r="AM67" s="215" t="s">
        <v>248</v>
      </c>
      <c r="AN67" s="215" t="s">
        <v>248</v>
      </c>
      <c r="AO67" s="216" t="s">
        <v>248</v>
      </c>
      <c r="AP67" s="217" t="s">
        <v>248</v>
      </c>
      <c r="AQ67" s="104"/>
      <c r="AR67" s="5"/>
      <c r="AS67" s="5"/>
      <c r="AT67" s="5"/>
      <c r="AU67" s="2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ht="31.5" customHeight="1">
      <c r="A68" s="50"/>
      <c r="B68" s="51"/>
      <c r="D68" s="83" t="s">
        <v>243</v>
      </c>
      <c r="E68" s="83" t="s">
        <v>243</v>
      </c>
      <c r="F68" s="83" t="s">
        <v>243</v>
      </c>
      <c r="G68" s="83" t="s">
        <v>243</v>
      </c>
      <c r="H68" s="83" t="s">
        <v>243</v>
      </c>
      <c r="I68" s="83" t="s">
        <v>243</v>
      </c>
      <c r="J68" s="83" t="s">
        <v>243</v>
      </c>
      <c r="K68" s="83" t="s">
        <v>243</v>
      </c>
      <c r="L68" s="147" t="s">
        <v>243</v>
      </c>
      <c r="M68" s="147" t="s">
        <v>243</v>
      </c>
      <c r="N68" s="209"/>
      <c r="O68" s="218"/>
      <c r="P68" s="165"/>
      <c r="Q68" s="166"/>
      <c r="R68" s="115"/>
      <c r="S68" s="115"/>
      <c r="T68" s="115"/>
      <c r="U68" s="115"/>
      <c r="V68" s="115"/>
      <c r="W68" s="115"/>
      <c r="X68" s="219"/>
      <c r="Y68" s="50"/>
      <c r="Z68" s="164"/>
      <c r="AE68" s="163"/>
      <c r="AF68" s="5"/>
      <c r="AG68" s="50"/>
      <c r="AH68" s="51"/>
      <c r="AI68" s="5"/>
      <c r="AK68" s="220" t="s">
        <v>248</v>
      </c>
      <c r="AL68" s="46" t="s">
        <v>249</v>
      </c>
      <c r="AM68" s="46" t="s">
        <v>250</v>
      </c>
      <c r="AN68" s="221" t="s">
        <v>248</v>
      </c>
      <c r="AO68" s="222" t="s">
        <v>248</v>
      </c>
      <c r="AP68" s="223" t="s">
        <v>248</v>
      </c>
      <c r="AQ68" s="104"/>
      <c r="AR68" s="5"/>
      <c r="AS68" s="5"/>
      <c r="AT68" s="5"/>
      <c r="AU68" s="2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ht="31.5" customHeight="1">
      <c r="A69" s="50"/>
      <c r="B69" s="51"/>
      <c r="C69" s="52"/>
      <c r="D69" s="50"/>
      <c r="E69" s="50"/>
      <c r="F69" s="50"/>
      <c r="G69" s="50"/>
      <c r="H69" s="50"/>
      <c r="I69" s="50"/>
      <c r="J69" s="50"/>
      <c r="K69" s="50"/>
      <c r="L69" s="50"/>
      <c r="M69" s="54"/>
      <c r="N69" s="209"/>
      <c r="O69" s="55"/>
      <c r="P69" s="102"/>
      <c r="Q69" s="103"/>
      <c r="R69" s="120"/>
      <c r="S69" s="121"/>
      <c r="T69" s="122"/>
      <c r="U69" s="123"/>
      <c r="V69" s="124"/>
      <c r="W69" s="125"/>
      <c r="X69" s="79"/>
      <c r="Y69" s="50"/>
      <c r="Z69" s="164"/>
      <c r="AE69" s="163"/>
      <c r="AF69" s="5"/>
      <c r="AG69" s="50"/>
      <c r="AH69" s="51"/>
      <c r="AI69" s="5"/>
      <c r="AJ69" s="180"/>
      <c r="AK69" s="180"/>
      <c r="AL69" s="180"/>
      <c r="AM69" s="180"/>
      <c r="AN69" s="180"/>
      <c r="AO69" s="180"/>
      <c r="AP69" s="180"/>
      <c r="AQ69" s="104"/>
      <c r="AR69" s="5"/>
      <c r="AS69" s="5"/>
      <c r="AT69" s="5"/>
      <c r="AU69" s="2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ht="31.5" customHeight="1">
      <c r="A70" s="50"/>
      <c r="B70" s="51"/>
      <c r="C70" s="57" t="s">
        <v>18</v>
      </c>
      <c r="D70" s="147" t="s">
        <v>243</v>
      </c>
      <c r="E70" s="147" t="s">
        <v>243</v>
      </c>
      <c r="F70" s="147" t="s">
        <v>243</v>
      </c>
      <c r="G70" s="147" t="s">
        <v>243</v>
      </c>
      <c r="H70" s="147" t="s">
        <v>243</v>
      </c>
      <c r="I70" s="147" t="s">
        <v>243</v>
      </c>
      <c r="J70" s="147" t="s">
        <v>243</v>
      </c>
      <c r="K70" s="148" t="s">
        <v>243</v>
      </c>
      <c r="L70" s="147" t="s">
        <v>243</v>
      </c>
      <c r="M70" s="147" t="s">
        <v>243</v>
      </c>
      <c r="N70" s="209"/>
      <c r="O70" s="55"/>
      <c r="P70" s="50"/>
      <c r="Q70" s="50"/>
      <c r="R70" s="50"/>
      <c r="S70" s="50"/>
      <c r="T70" s="50"/>
      <c r="U70" s="50"/>
      <c r="V70" s="50"/>
      <c r="W70" s="50"/>
      <c r="X70" s="104"/>
      <c r="Y70" s="50"/>
      <c r="Z70" s="164"/>
      <c r="AE70" s="163"/>
      <c r="AF70" s="5"/>
      <c r="AG70" s="50"/>
      <c r="AH70" s="51"/>
      <c r="AI70" s="5"/>
      <c r="AJ70" s="61" t="s">
        <v>27</v>
      </c>
      <c r="AK70" s="113" t="s">
        <v>251</v>
      </c>
      <c r="AL70" s="215" t="s">
        <v>252</v>
      </c>
      <c r="AM70" s="224" t="s">
        <v>253</v>
      </c>
      <c r="AN70" s="216" t="s">
        <v>254</v>
      </c>
      <c r="AO70" s="216" t="s">
        <v>255</v>
      </c>
      <c r="AP70" s="217" t="s">
        <v>256</v>
      </c>
      <c r="AQ70" s="104"/>
      <c r="AR70" s="5"/>
      <c r="AS70" s="5"/>
      <c r="AT70" s="5"/>
      <c r="AU70" s="2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ht="31.5" customHeight="1">
      <c r="A71" s="50"/>
      <c r="B71" s="51"/>
      <c r="D71" s="83" t="s">
        <v>243</v>
      </c>
      <c r="E71" s="83" t="s">
        <v>243</v>
      </c>
      <c r="F71" s="83" t="s">
        <v>243</v>
      </c>
      <c r="G71" s="83" t="s">
        <v>243</v>
      </c>
      <c r="H71" s="83" t="s">
        <v>243</v>
      </c>
      <c r="I71" s="83" t="s">
        <v>243</v>
      </c>
      <c r="J71" s="83" t="s">
        <v>243</v>
      </c>
      <c r="K71" s="147" t="s">
        <v>243</v>
      </c>
      <c r="L71" s="147" t="s">
        <v>243</v>
      </c>
      <c r="M71" s="147" t="s">
        <v>243</v>
      </c>
      <c r="N71" s="4"/>
      <c r="O71" s="55"/>
      <c r="P71" s="57"/>
      <c r="Q71" s="210"/>
      <c r="R71" s="175"/>
      <c r="S71" s="176"/>
      <c r="T71" s="225"/>
      <c r="U71" s="210"/>
      <c r="V71" s="175"/>
      <c r="W71" s="176"/>
      <c r="X71" s="104"/>
      <c r="Y71" s="50"/>
      <c r="Z71" s="167"/>
      <c r="AA71" s="168"/>
      <c r="AB71" s="168"/>
      <c r="AC71" s="168"/>
      <c r="AD71" s="168"/>
      <c r="AE71" s="169"/>
      <c r="AF71" s="5"/>
      <c r="AG71" s="50"/>
      <c r="AH71" s="51"/>
      <c r="AI71" s="5"/>
      <c r="AK71" s="220" t="s">
        <v>257</v>
      </c>
      <c r="AL71" s="46" t="s">
        <v>258</v>
      </c>
      <c r="AM71" s="222" t="s">
        <v>259</v>
      </c>
      <c r="AN71" s="222" t="s">
        <v>260</v>
      </c>
      <c r="AO71" s="46" t="s">
        <v>261</v>
      </c>
      <c r="AP71" s="223" t="s">
        <v>262</v>
      </c>
      <c r="AQ71" s="104"/>
      <c r="AR71" s="5"/>
      <c r="AS71" s="5"/>
      <c r="AT71" s="5"/>
      <c r="AU71" s="2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ht="31.5" customHeight="1">
      <c r="A72" s="50"/>
      <c r="B72" s="51"/>
      <c r="C72" s="52"/>
      <c r="D72" s="50"/>
      <c r="E72" s="50"/>
      <c r="F72" s="50"/>
      <c r="G72" s="50"/>
      <c r="H72" s="50"/>
      <c r="I72" s="50"/>
      <c r="J72" s="50"/>
      <c r="K72" s="50"/>
      <c r="L72" s="53"/>
      <c r="M72" s="54"/>
      <c r="N72" s="4"/>
      <c r="O72" s="55"/>
      <c r="Q72" s="167"/>
      <c r="R72" s="168"/>
      <c r="S72" s="169"/>
      <c r="T72" s="226"/>
      <c r="U72" s="167"/>
      <c r="V72" s="168"/>
      <c r="W72" s="169"/>
      <c r="X72" s="104"/>
      <c r="Y72" s="50"/>
      <c r="Z72" s="50"/>
      <c r="AA72" s="50"/>
      <c r="AB72" s="50"/>
      <c r="AC72" s="50"/>
      <c r="AD72" s="50"/>
      <c r="AE72" s="50"/>
      <c r="AF72" s="5"/>
      <c r="AG72" s="50"/>
      <c r="AH72" s="51"/>
      <c r="AI72" s="5"/>
      <c r="AJ72" s="183"/>
      <c r="AK72" s="180"/>
      <c r="AL72" s="180"/>
      <c r="AM72" s="180"/>
      <c r="AN72" s="180"/>
      <c r="AO72" s="180"/>
      <c r="AP72" s="180"/>
      <c r="AQ72" s="104"/>
      <c r="AR72" s="5"/>
      <c r="AS72" s="5"/>
      <c r="AT72" s="5"/>
      <c r="AU72" s="2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ht="31.5" customHeight="1">
      <c r="A73" s="50"/>
      <c r="B73" s="51"/>
      <c r="C73" s="57" t="s">
        <v>27</v>
      </c>
      <c r="D73" s="227" t="s">
        <v>243</v>
      </c>
      <c r="E73" s="147" t="s">
        <v>243</v>
      </c>
      <c r="F73" s="147" t="s">
        <v>243</v>
      </c>
      <c r="G73" s="83" t="s">
        <v>243</v>
      </c>
      <c r="H73" s="147" t="s">
        <v>243</v>
      </c>
      <c r="I73" s="147" t="s">
        <v>243</v>
      </c>
      <c r="J73" s="147" t="s">
        <v>243</v>
      </c>
      <c r="K73" s="147" t="s">
        <v>243</v>
      </c>
      <c r="L73" s="147" t="s">
        <v>243</v>
      </c>
      <c r="M73" s="147" t="s">
        <v>243</v>
      </c>
      <c r="N73" s="209"/>
      <c r="O73" s="55"/>
      <c r="P73" s="50"/>
      <c r="Q73" s="226"/>
      <c r="R73" s="226"/>
      <c r="S73" s="226"/>
      <c r="T73" s="226"/>
      <c r="U73" s="226"/>
      <c r="V73" s="226"/>
      <c r="W73" s="226"/>
      <c r="X73" s="104"/>
      <c r="Y73" s="50"/>
      <c r="Z73" s="50"/>
      <c r="AA73" s="50"/>
      <c r="AB73" s="179"/>
      <c r="AC73" s="175"/>
      <c r="AD73" s="175"/>
      <c r="AE73" s="176"/>
      <c r="AF73" s="5"/>
      <c r="AG73" s="50"/>
      <c r="AH73" s="51"/>
      <c r="AI73" s="5"/>
      <c r="AJ73" s="61" t="s">
        <v>43</v>
      </c>
      <c r="AK73" s="214" t="s">
        <v>263</v>
      </c>
      <c r="AL73" s="216" t="s">
        <v>264</v>
      </c>
      <c r="AM73" s="215" t="s">
        <v>265</v>
      </c>
      <c r="AN73" s="215" t="s">
        <v>266</v>
      </c>
      <c r="AO73" s="224" t="s">
        <v>267</v>
      </c>
      <c r="AP73" s="217" t="s">
        <v>268</v>
      </c>
      <c r="AQ73" s="104"/>
      <c r="AR73" s="5"/>
      <c r="AS73" s="5"/>
      <c r="AT73" s="5"/>
      <c r="AU73" s="2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ht="31.5" customHeight="1">
      <c r="A74" s="2"/>
      <c r="B74" s="51"/>
      <c r="D74" s="227" t="s">
        <v>243</v>
      </c>
      <c r="E74" s="147" t="s">
        <v>243</v>
      </c>
      <c r="F74" s="147" t="s">
        <v>243</v>
      </c>
      <c r="G74" s="83" t="s">
        <v>243</v>
      </c>
      <c r="H74" s="147" t="s">
        <v>243</v>
      </c>
      <c r="I74" s="147" t="s">
        <v>243</v>
      </c>
      <c r="J74" s="147" t="s">
        <v>243</v>
      </c>
      <c r="K74" s="147" t="s">
        <v>243</v>
      </c>
      <c r="L74" s="147" t="s">
        <v>243</v>
      </c>
      <c r="M74" s="147" t="s">
        <v>243</v>
      </c>
      <c r="N74" s="209"/>
      <c r="O74" s="55"/>
      <c r="P74" s="50"/>
      <c r="Q74" s="210"/>
      <c r="R74" s="175"/>
      <c r="S74" s="176"/>
      <c r="T74" s="225"/>
      <c r="U74" s="210"/>
      <c r="V74" s="175"/>
      <c r="W74" s="176"/>
      <c r="X74" s="104"/>
      <c r="Y74" s="50"/>
      <c r="Z74" s="50"/>
      <c r="AA74" s="50"/>
      <c r="AB74" s="164"/>
      <c r="AE74" s="163"/>
      <c r="AF74" s="5"/>
      <c r="AG74" s="50"/>
      <c r="AH74" s="51"/>
      <c r="AI74" s="5"/>
      <c r="AK74" s="228" t="s">
        <v>269</v>
      </c>
      <c r="AL74" s="221" t="s">
        <v>270</v>
      </c>
      <c r="AM74" s="46" t="s">
        <v>271</v>
      </c>
      <c r="AN74" s="222" t="s">
        <v>8</v>
      </c>
      <c r="AO74" s="46" t="s">
        <v>272</v>
      </c>
      <c r="AP74" s="229" t="s">
        <v>273</v>
      </c>
      <c r="AQ74" s="104"/>
      <c r="AR74" s="5"/>
      <c r="AS74" s="5"/>
      <c r="AT74" s="5"/>
      <c r="AU74" s="2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ht="31.5" customHeight="1">
      <c r="A75" s="2"/>
      <c r="B75" s="51"/>
      <c r="C75" s="52"/>
      <c r="D75" s="50"/>
      <c r="E75" s="50"/>
      <c r="F75" s="50"/>
      <c r="G75" s="50"/>
      <c r="H75" s="50"/>
      <c r="I75" s="50"/>
      <c r="J75" s="50"/>
      <c r="K75" s="50"/>
      <c r="L75" s="201"/>
      <c r="M75" s="54"/>
      <c r="N75" s="4"/>
      <c r="O75" s="55"/>
      <c r="P75" s="50"/>
      <c r="Q75" s="167"/>
      <c r="R75" s="168"/>
      <c r="S75" s="169"/>
      <c r="T75" s="226"/>
      <c r="U75" s="167"/>
      <c r="V75" s="168"/>
      <c r="W75" s="169"/>
      <c r="X75" s="104"/>
      <c r="Y75" s="50"/>
      <c r="Z75" s="50"/>
      <c r="AA75" s="50"/>
      <c r="AB75" s="164"/>
      <c r="AE75" s="163"/>
      <c r="AF75" s="5"/>
      <c r="AG75" s="50"/>
      <c r="AH75" s="51"/>
      <c r="AI75" s="5"/>
      <c r="AJ75" s="183"/>
      <c r="AK75" s="180"/>
      <c r="AL75" s="180"/>
      <c r="AM75" s="180"/>
      <c r="AN75" s="180"/>
      <c r="AO75" s="180"/>
      <c r="AP75" s="180"/>
      <c r="AQ75" s="104"/>
      <c r="AR75" s="5"/>
      <c r="AS75" s="5"/>
      <c r="AT75" s="5"/>
      <c r="AU75" s="2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ht="31.5" customHeight="1">
      <c r="A76" s="50"/>
      <c r="B76" s="51"/>
      <c r="C76" s="57" t="s">
        <v>43</v>
      </c>
      <c r="D76" s="230" t="s">
        <v>274</v>
      </c>
      <c r="E76" s="147" t="s">
        <v>243</v>
      </c>
      <c r="F76" s="147" t="s">
        <v>243</v>
      </c>
      <c r="G76" s="147" t="s">
        <v>243</v>
      </c>
      <c r="H76" s="147" t="s">
        <v>243</v>
      </c>
      <c r="I76" s="147" t="s">
        <v>243</v>
      </c>
      <c r="J76" s="147" t="s">
        <v>243</v>
      </c>
      <c r="K76" s="147" t="s">
        <v>243</v>
      </c>
      <c r="L76" s="147" t="s">
        <v>243</v>
      </c>
      <c r="M76" s="147" t="s">
        <v>243</v>
      </c>
      <c r="N76" s="4"/>
      <c r="O76" s="55"/>
      <c r="P76" s="50"/>
      <c r="Q76" s="50"/>
      <c r="R76" s="50"/>
      <c r="S76" s="50"/>
      <c r="T76" s="50"/>
      <c r="U76" s="50"/>
      <c r="V76" s="50"/>
      <c r="W76" s="50"/>
      <c r="X76" s="104"/>
      <c r="Y76" s="50"/>
      <c r="Z76" s="50"/>
      <c r="AA76" s="50"/>
      <c r="AB76" s="164"/>
      <c r="AE76" s="163"/>
      <c r="AF76" s="5"/>
      <c r="AG76" s="50"/>
      <c r="AH76" s="51"/>
      <c r="AI76" s="5"/>
      <c r="AJ76" s="61" t="s">
        <v>67</v>
      </c>
      <c r="AK76" s="214" t="s">
        <v>275</v>
      </c>
      <c r="AL76" s="216" t="s">
        <v>276</v>
      </c>
      <c r="AM76" s="222" t="s">
        <v>8</v>
      </c>
      <c r="AN76" s="215" t="s">
        <v>277</v>
      </c>
      <c r="AO76" s="215" t="s">
        <v>278</v>
      </c>
      <c r="AP76" s="215" t="s">
        <v>279</v>
      </c>
      <c r="AQ76" s="104"/>
      <c r="AR76" s="5"/>
      <c r="AS76" s="5"/>
      <c r="AT76" s="5"/>
      <c r="AU76" s="2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ht="31.5" customHeight="1">
      <c r="A77" s="50"/>
      <c r="B77" s="51"/>
      <c r="D77" s="227" t="s">
        <v>280</v>
      </c>
      <c r="E77" s="185" t="s">
        <v>243</v>
      </c>
      <c r="F77" s="185" t="s">
        <v>243</v>
      </c>
      <c r="G77" s="185" t="s">
        <v>243</v>
      </c>
      <c r="H77" s="185" t="s">
        <v>243</v>
      </c>
      <c r="I77" s="185" t="s">
        <v>243</v>
      </c>
      <c r="J77" s="185" t="s">
        <v>243</v>
      </c>
      <c r="K77" s="185" t="s">
        <v>243</v>
      </c>
      <c r="L77" s="147" t="s">
        <v>243</v>
      </c>
      <c r="M77" s="185" t="s">
        <v>243</v>
      </c>
      <c r="N77" s="4"/>
      <c r="O77" s="73"/>
      <c r="P77" s="75"/>
      <c r="Q77" s="75"/>
      <c r="R77" s="75"/>
      <c r="S77" s="75"/>
      <c r="T77" s="75"/>
      <c r="U77" s="75"/>
      <c r="V77" s="75"/>
      <c r="W77" s="75"/>
      <c r="X77" s="76"/>
      <c r="Y77" s="50"/>
      <c r="Z77" s="50"/>
      <c r="AA77" s="50"/>
      <c r="AB77" s="164"/>
      <c r="AE77" s="163"/>
      <c r="AF77" s="5"/>
      <c r="AG77" s="50"/>
      <c r="AH77" s="51"/>
      <c r="AI77" s="5"/>
      <c r="AK77" s="228" t="s">
        <v>8</v>
      </c>
      <c r="AL77" s="46" t="s">
        <v>281</v>
      </c>
      <c r="AM77" s="231" t="s">
        <v>282</v>
      </c>
      <c r="AN77" s="46" t="s">
        <v>283</v>
      </c>
      <c r="AO77" s="231" t="s">
        <v>284</v>
      </c>
      <c r="AP77" s="229" t="s">
        <v>285</v>
      </c>
      <c r="AQ77" s="232"/>
      <c r="AR77" s="5"/>
      <c r="AS77" s="5"/>
      <c r="AT77" s="5"/>
      <c r="AU77" s="2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ht="31.5" customHeight="1">
      <c r="A78" s="2"/>
      <c r="B78" s="26"/>
      <c r="C78" s="2"/>
      <c r="D78" s="2"/>
      <c r="E78" s="2"/>
      <c r="F78" s="2"/>
      <c r="G78" s="2"/>
      <c r="H78" s="2"/>
      <c r="I78" s="2"/>
      <c r="J78" s="2"/>
      <c r="K78" s="2"/>
      <c r="L78" s="3"/>
      <c r="M78" s="34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164"/>
      <c r="AE78" s="163"/>
      <c r="AF78" s="5"/>
      <c r="AG78" s="50"/>
      <c r="AH78" s="98"/>
      <c r="AI78" s="233"/>
      <c r="AJ78" s="99"/>
      <c r="AK78" s="99"/>
      <c r="AL78" s="99"/>
      <c r="AM78" s="99"/>
      <c r="AN78" s="99"/>
      <c r="AO78" s="99"/>
      <c r="AP78" s="99"/>
      <c r="AQ78" s="76"/>
      <c r="AR78" s="5"/>
      <c r="AS78" s="5"/>
      <c r="AT78" s="5"/>
      <c r="AU78" s="2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ht="31.5" customHeight="1">
      <c r="A79" s="2"/>
      <c r="B79" s="26"/>
      <c r="C79" s="38" t="s">
        <v>67</v>
      </c>
      <c r="D79" s="190"/>
      <c r="E79" s="2"/>
      <c r="F79" s="148" t="s">
        <v>243</v>
      </c>
      <c r="G79" s="147" t="s">
        <v>243</v>
      </c>
      <c r="H79" s="147" t="s">
        <v>243</v>
      </c>
      <c r="I79" s="147" t="s">
        <v>243</v>
      </c>
      <c r="J79" s="147" t="s">
        <v>243</v>
      </c>
      <c r="K79" s="147" t="s">
        <v>243</v>
      </c>
      <c r="L79" s="3"/>
      <c r="M79" s="34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164"/>
      <c r="AE79" s="163"/>
      <c r="AF79" s="5"/>
      <c r="AG79" s="50"/>
      <c r="AH79" s="50"/>
      <c r="AI79" s="18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2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ht="31.5" customHeight="1">
      <c r="A80" s="2"/>
      <c r="B80" s="98"/>
      <c r="C80" s="99"/>
      <c r="D80" s="99"/>
      <c r="E80" s="99"/>
      <c r="F80" s="99"/>
      <c r="G80" s="99"/>
      <c r="H80" s="99"/>
      <c r="I80" s="99"/>
      <c r="J80" s="99"/>
      <c r="K80" s="234"/>
      <c r="L80" s="235"/>
      <c r="M80" s="101"/>
      <c r="N80" s="4"/>
      <c r="O80" s="50"/>
      <c r="P80" s="50"/>
      <c r="Q80" s="50"/>
      <c r="R80" s="236"/>
      <c r="S80" s="237"/>
      <c r="T80" s="237"/>
      <c r="U80" s="237"/>
      <c r="V80" s="238"/>
      <c r="W80" s="50"/>
      <c r="X80" s="239"/>
      <c r="Y80" s="175"/>
      <c r="Z80" s="176"/>
      <c r="AA80" s="5"/>
      <c r="AB80" s="164"/>
      <c r="AE80" s="163"/>
      <c r="AF80" s="5"/>
      <c r="AG80" s="50"/>
      <c r="AH80" s="114"/>
      <c r="AI80" s="165"/>
      <c r="AJ80" s="166"/>
      <c r="AK80" s="115"/>
      <c r="AL80" s="115"/>
      <c r="AM80" s="115"/>
      <c r="AN80" s="115"/>
      <c r="AO80" s="115"/>
      <c r="AP80" s="116"/>
      <c r="AQ80" s="5"/>
      <c r="AR80" s="5"/>
      <c r="AS80" s="5"/>
      <c r="AT80" s="5"/>
      <c r="AU80" s="2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ht="31.5" customHeight="1">
      <c r="A81" s="2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3"/>
      <c r="M81" s="50"/>
      <c r="N81" s="2"/>
      <c r="O81" s="50"/>
      <c r="P81" s="50"/>
      <c r="Q81" s="50"/>
      <c r="R81" s="240"/>
      <c r="S81" s="84"/>
      <c r="T81" s="84"/>
      <c r="U81" s="84"/>
      <c r="V81" s="241"/>
      <c r="W81" s="50"/>
      <c r="X81" s="167"/>
      <c r="Y81" s="168"/>
      <c r="Z81" s="169"/>
      <c r="AA81" s="5"/>
      <c r="AB81" s="164"/>
      <c r="AE81" s="163"/>
      <c r="AF81" s="5"/>
      <c r="AG81" s="50"/>
      <c r="AH81" s="51"/>
      <c r="AI81" s="102" t="s">
        <v>286</v>
      </c>
      <c r="AJ81" s="120" t="s">
        <v>14</v>
      </c>
      <c r="AK81" s="121">
        <f>AM81+AO81</f>
        <v>1</v>
      </c>
      <c r="AL81" s="122" t="s">
        <v>15</v>
      </c>
      <c r="AM81" s="123">
        <f>COUNTA(AJ83:AO84)-AO81</f>
        <v>1</v>
      </c>
      <c r="AN81" s="124" t="s">
        <v>16</v>
      </c>
      <c r="AO81" s="125">
        <f>COUNTIFS(AJ83:AO84,"*VIDE*")</f>
        <v>0</v>
      </c>
      <c r="AP81" s="54"/>
      <c r="AQ81" s="5"/>
      <c r="AR81" s="5"/>
      <c r="AS81" s="5"/>
      <c r="AT81" s="5"/>
      <c r="AU81" s="2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ht="31.5" customHeight="1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  <c r="L82" s="10"/>
      <c r="M82" s="2"/>
      <c r="N82" s="2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167"/>
      <c r="AC82" s="168"/>
      <c r="AD82" s="168"/>
      <c r="AE82" s="169"/>
      <c r="AF82" s="5"/>
      <c r="AG82" s="50"/>
      <c r="AH82" s="51"/>
      <c r="AI82" s="50"/>
      <c r="AJ82" s="50"/>
      <c r="AK82" s="50"/>
      <c r="AL82" s="50"/>
      <c r="AM82" s="50"/>
      <c r="AN82" s="50"/>
      <c r="AO82" s="50"/>
      <c r="AP82" s="54"/>
      <c r="AQ82" s="5"/>
      <c r="AR82" s="5"/>
      <c r="AS82" s="5"/>
      <c r="AT82" s="5"/>
      <c r="AU82" s="2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ht="31.5" customHeight="1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  <c r="L83" s="10"/>
      <c r="M83" s="2"/>
      <c r="N83" s="2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1"/>
      <c r="AI83" s="57"/>
      <c r="AJ83" s="174" t="s">
        <v>287</v>
      </c>
      <c r="AK83" s="175"/>
      <c r="AL83" s="175"/>
      <c r="AM83" s="175"/>
      <c r="AN83" s="175"/>
      <c r="AO83" s="176"/>
      <c r="AP83" s="54"/>
      <c r="AQ83" s="5"/>
      <c r="AR83" s="5"/>
      <c r="AS83" s="5"/>
      <c r="AT83" s="5"/>
      <c r="AU83" s="2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ht="31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0"/>
      <c r="M84" s="2"/>
      <c r="N84" s="2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"/>
      <c r="AC84" s="5"/>
      <c r="AD84" s="5"/>
      <c r="AE84" s="5"/>
      <c r="AF84" s="50"/>
      <c r="AG84" s="50"/>
      <c r="AH84" s="51"/>
      <c r="AJ84" s="167"/>
      <c r="AK84" s="168"/>
      <c r="AL84" s="168"/>
      <c r="AM84" s="168"/>
      <c r="AN84" s="168"/>
      <c r="AO84" s="169"/>
      <c r="AP84" s="54"/>
      <c r="AQ84" s="5"/>
      <c r="AR84" s="5"/>
      <c r="AS84" s="5"/>
      <c r="AT84" s="5"/>
      <c r="AU84" s="2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ht="31.5" customHeight="1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  <c r="L85" s="10"/>
      <c r="M85" s="2"/>
      <c r="N85" s="2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"/>
      <c r="AC85" s="5"/>
      <c r="AD85" s="5"/>
      <c r="AE85" s="5"/>
      <c r="AF85" s="50"/>
      <c r="AG85" s="50"/>
      <c r="AH85" s="98"/>
      <c r="AI85" s="99"/>
      <c r="AJ85" s="99"/>
      <c r="AK85" s="99"/>
      <c r="AL85" s="99"/>
      <c r="AM85" s="99"/>
      <c r="AN85" s="99"/>
      <c r="AO85" s="99"/>
      <c r="AP85" s="101"/>
      <c r="AQ85" s="5"/>
      <c r="AR85" s="5"/>
      <c r="AS85" s="5"/>
      <c r="AT85" s="5"/>
      <c r="AU85" s="2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ht="31.5" customHeight="1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  <c r="L86" s="10"/>
      <c r="M86" s="2"/>
      <c r="N86" s="2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"/>
      <c r="AC86" s="5"/>
      <c r="AD86" s="5"/>
      <c r="AE86" s="5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2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ht="31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2"/>
      <c r="N87" s="2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"/>
      <c r="AC87" s="5"/>
      <c r="AD87" s="5"/>
      <c r="AE87" s="5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2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ht="31.5" customHeight="1">
      <c r="A88" s="2"/>
      <c r="B88" s="2"/>
      <c r="C88" s="2"/>
      <c r="D88" s="2"/>
      <c r="E88" s="2"/>
      <c r="F88" s="242"/>
      <c r="G88" s="242"/>
      <c r="H88" s="242"/>
      <c r="I88" s="242"/>
      <c r="J88" s="1"/>
      <c r="K88" s="2"/>
      <c r="L88" s="3"/>
      <c r="M88" s="2"/>
      <c r="N88" s="2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"/>
      <c r="AC88" s="5"/>
      <c r="AD88" s="5"/>
      <c r="AE88" s="5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2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ht="31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2"/>
      <c r="N89" s="2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"/>
      <c r="AC89" s="5"/>
      <c r="AD89" s="5"/>
      <c r="AE89" s="5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2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ht="31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2"/>
      <c r="N90" s="2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"/>
      <c r="AC90" s="5"/>
      <c r="AD90" s="5"/>
      <c r="AE90" s="5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2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ht="31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"/>
      <c r="AC91" s="5"/>
      <c r="AD91" s="5"/>
      <c r="AE91" s="5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25"/>
      <c r="AV91" s="5"/>
      <c r="AW91" s="5"/>
      <c r="AX91" s="5"/>
      <c r="AY91" s="5"/>
      <c r="AZ91" s="5"/>
      <c r="BA91" s="5"/>
      <c r="BB91" s="5"/>
      <c r="BC91" s="5"/>
      <c r="BD91" s="5"/>
      <c r="BE91" s="5"/>
    </row>
  </sheetData>
  <mergeCells count="65">
    <mergeCell ref="AJ67:AJ68"/>
    <mergeCell ref="AJ70:AJ71"/>
    <mergeCell ref="AB73:AE82"/>
    <mergeCell ref="AJ73:AJ74"/>
    <mergeCell ref="AJ76:AJ77"/>
    <mergeCell ref="AI83:AI84"/>
    <mergeCell ref="AJ83:AO84"/>
    <mergeCell ref="P71:P72"/>
    <mergeCell ref="Q71:S72"/>
    <mergeCell ref="U71:W72"/>
    <mergeCell ref="Q74:S75"/>
    <mergeCell ref="U74:W75"/>
    <mergeCell ref="R80:V81"/>
    <mergeCell ref="X80:Z81"/>
    <mergeCell ref="AI60:AI61"/>
    <mergeCell ref="AJ60:AK61"/>
    <mergeCell ref="AM60:AN61"/>
    <mergeCell ref="AP60:AQ61"/>
    <mergeCell ref="Z61:AE71"/>
    <mergeCell ref="P64:P65"/>
    <mergeCell ref="Q64:W65"/>
    <mergeCell ref="X10:X20"/>
    <mergeCell ref="Z18:Z19"/>
    <mergeCell ref="I2:L3"/>
    <mergeCell ref="T2:AE3"/>
    <mergeCell ref="AO2:AT3"/>
    <mergeCell ref="G4:I4"/>
    <mergeCell ref="C15:C16"/>
    <mergeCell ref="P15:P16"/>
    <mergeCell ref="AI18:AI19"/>
    <mergeCell ref="X34:Y34"/>
    <mergeCell ref="AA34:AB34"/>
    <mergeCell ref="P39:AF41"/>
    <mergeCell ref="D44:K45"/>
    <mergeCell ref="P45:U56"/>
    <mergeCell ref="W45:Z56"/>
    <mergeCell ref="AB45:AE56"/>
    <mergeCell ref="Z15:Z16"/>
    <mergeCell ref="AI15:AI16"/>
    <mergeCell ref="AI21:AI22"/>
    <mergeCell ref="AI28:AI29"/>
    <mergeCell ref="R34:S34"/>
    <mergeCell ref="U34:V34"/>
    <mergeCell ref="AD34:AE34"/>
    <mergeCell ref="C54:C55"/>
    <mergeCell ref="C57:C58"/>
    <mergeCell ref="C60:C61"/>
    <mergeCell ref="C67:C68"/>
    <mergeCell ref="C70:C71"/>
    <mergeCell ref="C73:C74"/>
    <mergeCell ref="C76:C77"/>
    <mergeCell ref="C18:C19"/>
    <mergeCell ref="C21:C22"/>
    <mergeCell ref="C31:C32"/>
    <mergeCell ref="C34:C35"/>
    <mergeCell ref="C37:C38"/>
    <mergeCell ref="C44:C45"/>
    <mergeCell ref="C51:C52"/>
    <mergeCell ref="AI31:AI32"/>
    <mergeCell ref="AI34:AI35"/>
    <mergeCell ref="AI37:AI38"/>
    <mergeCell ref="AI44:AI45"/>
    <mergeCell ref="AI47:AI48"/>
    <mergeCell ref="AI50:AI51"/>
    <mergeCell ref="AI53:AI54"/>
  </mergeCells>
  <conditionalFormatting sqref="A1:BE91">
    <cfRule type="containsText" dxfId="0" priority="1" operator="containsText" text="VIDE">
      <formula>NOT(ISERROR(SEARCH(("VIDE"),(A1))))</formula>
    </cfRule>
  </conditionalFormatting>
  <hyperlinks>
    <hyperlink r:id="rId1" ref="V13"/>
  </hyperlinks>
  <printOptions gridLines="1" horizontalCentered="1"/>
  <pageMargins bottom="0.75" footer="0.0" header="0.0" left="0.25" right="0.25" top="0.75"/>
  <pageSetup paperSize="9" cellComments="atEnd" orientation="landscape" pageOrder="overThenDown"/>
  <drawing r:id="rId2"/>
</worksheet>
</file>